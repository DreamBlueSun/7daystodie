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workspace-idea\7daystodie\IridescentAlchemy3-TraceOfBattle\"/>
    </mc:Choice>
  </mc:AlternateContent>
  <xr:revisionPtr revIDLastSave="0" documentId="13_ncr:1_{7280B81F-B48F-4750-B634-FCAF51546FBE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职业" sheetId="20" r:id="rId9"/>
    <sheet name="武器" sheetId="1" r:id="rId10"/>
    <sheet name="护甲前缀" sheetId="2" r:id="rId11"/>
    <sheet name="护甲后缀" sheetId="6" r:id="rId12"/>
    <sheet name="虹彩技能" sheetId="13" r:id="rId13"/>
    <sheet name="晶石掉落" sheetId="11" r:id="rId14"/>
    <sheet name="装饰品" sheetId="9" r:id="rId15"/>
    <sheet name="源" sheetId="19" r:id="rId16"/>
    <sheet name="其他" sheetId="4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1" l="1"/>
  <c r="I40" i="11"/>
  <c r="H40" i="11"/>
  <c r="G40" i="11"/>
  <c r="F40" i="11"/>
  <c r="E40" i="11"/>
  <c r="J39" i="11"/>
  <c r="I39" i="11"/>
  <c r="H39" i="11"/>
  <c r="G39" i="11"/>
  <c r="F39" i="11"/>
  <c r="E39" i="11"/>
  <c r="I32" i="11"/>
  <c r="H32" i="11"/>
  <c r="G32" i="11"/>
  <c r="F32" i="11"/>
  <c r="E32" i="11"/>
  <c r="I31" i="11"/>
  <c r="H31" i="11"/>
  <c r="G31" i="11"/>
  <c r="F31" i="11"/>
  <c r="E31" i="11"/>
  <c r="S26" i="11"/>
  <c r="R26" i="11"/>
  <c r="Q26" i="11"/>
  <c r="P26" i="11"/>
  <c r="H26" i="11"/>
  <c r="G26" i="11"/>
  <c r="F26" i="11"/>
  <c r="E26" i="11"/>
  <c r="S25" i="11"/>
  <c r="R25" i="11"/>
  <c r="Q25" i="11"/>
  <c r="P25" i="11"/>
  <c r="H25" i="11"/>
  <c r="G25" i="11"/>
  <c r="F25" i="11"/>
  <c r="E25" i="11"/>
  <c r="S20" i="11"/>
  <c r="R20" i="11"/>
  <c r="Q20" i="11"/>
  <c r="P20" i="11"/>
  <c r="G20" i="11"/>
  <c r="F20" i="11"/>
  <c r="E20" i="11"/>
  <c r="S19" i="11"/>
  <c r="R19" i="11"/>
  <c r="Q19" i="11"/>
  <c r="P19" i="11"/>
  <c r="G19" i="11"/>
  <c r="F19" i="11"/>
  <c r="E19" i="11"/>
  <c r="S14" i="11"/>
  <c r="R14" i="11"/>
  <c r="Q14" i="11"/>
  <c r="P14" i="11"/>
  <c r="F14" i="11"/>
  <c r="E14" i="11"/>
  <c r="S13" i="11"/>
  <c r="R13" i="11"/>
  <c r="Q13" i="11"/>
  <c r="P13" i="11"/>
  <c r="F13" i="11"/>
  <c r="E13" i="11"/>
  <c r="C19" i="1"/>
  <c r="D16" i="1" s="1"/>
  <c r="C15" i="1"/>
  <c r="C18" i="1" s="1"/>
  <c r="K11" i="1"/>
  <c r="K5" i="1" s="1"/>
  <c r="N10" i="1"/>
  <c r="M10" i="1"/>
  <c r="L10" i="1"/>
  <c r="K10" i="1"/>
  <c r="J10" i="1"/>
  <c r="I10" i="1"/>
  <c r="H10" i="1"/>
  <c r="G10" i="1"/>
  <c r="F10" i="1"/>
  <c r="E10" i="1"/>
  <c r="D10" i="1"/>
  <c r="C10" i="1"/>
  <c r="N7" i="1"/>
  <c r="M7" i="1"/>
  <c r="L7" i="1"/>
  <c r="K7" i="1"/>
  <c r="J7" i="1"/>
  <c r="I7" i="1"/>
  <c r="H7" i="1"/>
  <c r="G7" i="1"/>
  <c r="F7" i="1"/>
  <c r="E7" i="1"/>
  <c r="D7" i="1"/>
  <c r="C6" i="1" l="1"/>
  <c r="L11" i="1"/>
  <c r="D12" i="1"/>
  <c r="D18" i="1" s="1"/>
  <c r="K17" i="1"/>
  <c r="D19" i="1"/>
  <c r="C7" i="1"/>
  <c r="K14" i="1" l="1"/>
  <c r="L17" i="1"/>
  <c r="M11" i="1"/>
  <c r="L5" i="1"/>
  <c r="E19" i="1"/>
  <c r="E16" i="1"/>
  <c r="E12" i="1"/>
  <c r="D6" i="1"/>
  <c r="D15" i="1"/>
  <c r="F12" i="1" l="1"/>
  <c r="E6" i="1"/>
  <c r="F19" i="1"/>
  <c r="F16" i="1"/>
  <c r="M5" i="1"/>
  <c r="N11" i="1"/>
  <c r="N5" i="1" s="1"/>
  <c r="L14" i="1"/>
  <c r="M17" i="1"/>
  <c r="E15" i="1"/>
  <c r="E18" i="1"/>
  <c r="F15" i="1" l="1"/>
  <c r="F18" i="1"/>
  <c r="M14" i="1"/>
  <c r="N17" i="1"/>
  <c r="N14" i="1" s="1"/>
  <c r="G19" i="1"/>
  <c r="G16" i="1"/>
  <c r="G12" i="1"/>
  <c r="F6" i="1"/>
  <c r="H12" i="1" l="1"/>
  <c r="G6" i="1"/>
  <c r="H19" i="1"/>
  <c r="H16" i="1"/>
  <c r="G15" i="1"/>
  <c r="G18" i="1"/>
  <c r="H15" i="1" l="1"/>
  <c r="H18" i="1"/>
  <c r="I19" i="1"/>
  <c r="I16" i="1"/>
  <c r="I12" i="1"/>
  <c r="H6" i="1"/>
  <c r="I15" i="1" l="1"/>
  <c r="I18" i="1"/>
  <c r="J12" i="1"/>
  <c r="J6" i="1" s="1"/>
  <c r="I6" i="1"/>
  <c r="J19" i="1"/>
  <c r="J16" i="1"/>
  <c r="K19" i="1" l="1"/>
  <c r="K16" i="1"/>
  <c r="J15" i="1"/>
  <c r="K15" i="1" s="1"/>
  <c r="L15" i="1" s="1"/>
  <c r="M15" i="1" s="1"/>
  <c r="N15" i="1" s="1"/>
  <c r="J18" i="1"/>
  <c r="L19" i="1" l="1"/>
  <c r="L16" i="1"/>
  <c r="M19" i="1" l="1"/>
  <c r="M16" i="1"/>
  <c r="N19" i="1" l="1"/>
  <c r="N16" i="1"/>
</calcChain>
</file>

<file path=xl/sharedStrings.xml><?xml version="1.0" encoding="utf-8"?>
<sst xmlns="http://schemas.openxmlformats.org/spreadsheetml/2006/main" count="3616" uniqueCount="1119">
  <si>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</si>
  <si>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</si>
  <si>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</si>
  <si>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</si>
  <si>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</si>
  <si>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</si>
  <si>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</si>
  <si>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</si>
  <si>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</si>
  <si>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</si>
  <si>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</si>
  <si>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</si>
  <si>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</si>
  <si>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</si>
  <si>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</si>
  <si>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</si>
  <si>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</si>
  <si>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</si>
  <si>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</si>
  <si>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</si>
  <si>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</si>
  <si>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</si>
  <si>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</si>
  <si>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</si>
  <si>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</si>
  <si>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</si>
  <si>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</si>
  <si>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</si>
  <si>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</si>
  <si>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</si>
  <si>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</si>
  <si>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</si>
  <si>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</si>
  <si>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</si>
  <si>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</si>
  <si>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</si>
  <si>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</si>
  <si>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</si>
  <si>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</si>
  <si>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</si>
  <si>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</si>
  <si>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</si>
  <si>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</si>
  <si>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</si>
  <si>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</si>
  <si>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</si>
  <si>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</si>
  <si>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</si>
  <si>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</si>
  <si>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</si>
  <si>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</si>
  <si>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</si>
  <si>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</si>
  <si>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大师</t>
  </si>
  <si>
    <t>13-18</t>
  </si>
  <si>
    <t>紧急任务（14-18）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</si>
  <si>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</si>
  <si>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</si>
  <si>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</si>
  <si>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</si>
  <si>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</si>
  <si>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</si>
  <si>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</si>
  <si>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</si>
  <si>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</si>
  <si>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</si>
  <si>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</si>
  <si>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</si>
  <si>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</si>
  <si>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</si>
  <si>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</si>
  <si>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</si>
  <si>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</si>
  <si>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</si>
  <si>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</si>
  <si>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</si>
  <si>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</si>
  <si>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</si>
  <si>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</si>
  <si>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</si>
  <si>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</si>
  <si>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</si>
  <si>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</si>
  <si>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</si>
  <si>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</si>
  <si>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</si>
  <si>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</si>
  <si>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</si>
  <si>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</si>
  <si>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</si>
  <si>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</si>
  <si>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</si>
  <si>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</si>
  <si>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</si>
  <si>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</si>
  <si>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</si>
  <si>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</si>
  <si>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</si>
  <si>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</si>
  <si>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</si>
  <si>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</si>
  <si>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</si>
  <si>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</si>
  <si>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</si>
  <si>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</si>
  <si>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</si>
  <si>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</si>
  <si>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</si>
  <si>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</si>
  <si>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</si>
  <si>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</si>
  <si>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</si>
  <si>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</si>
  <si>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</si>
  <si>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</si>
  <si>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</si>
  <si>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</si>
  <si>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</si>
  <si>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</si>
  <si>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</si>
  <si>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</si>
  <si>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</si>
  <si>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</si>
  <si>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</si>
  <si>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</si>
  <si>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</si>
  <si>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</si>
  <si>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</si>
  <si>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</si>
  <si>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</si>
  <si>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</si>
  <si>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</si>
  <si>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</si>
  <si>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</si>
  <si>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</si>
  <si>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</si>
  <si>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</si>
  <si>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</si>
  <si>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</si>
  <si>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</si>
  <si>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</si>
  <si>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</si>
  <si>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</si>
  <si>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</si>
  <si>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</si>
  <si>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</si>
  <si>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</si>
  <si>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</si>
  <si>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</si>
  <si>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</si>
  <si>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</si>
  <si>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</si>
  <si>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</si>
  <si>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</si>
  <si>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</si>
  <si>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</si>
  <si>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</si>
  <si>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</si>
  <si>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</si>
  <si>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</si>
  <si>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</si>
  <si>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</si>
  <si>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</si>
  <si>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</si>
  <si>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</si>
  <si>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</si>
  <si>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</si>
  <si>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</si>
  <si>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</si>
  <si>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</si>
  <si>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</si>
  <si>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</si>
  <si>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</si>
  <si>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</si>
  <si>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</si>
  <si>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</si>
  <si>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</si>
  <si>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</si>
  <si>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</si>
  <si>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</si>
  <si>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</si>
  <si>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</si>
  <si>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</si>
  <si>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</si>
  <si>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</si>
  <si>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</si>
  <si>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</si>
  <si>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</si>
  <si>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</si>
  <si>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</si>
  <si>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</si>
  <si>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</si>
  <si>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</si>
  <si>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</si>
  <si>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</si>
  <si>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</si>
  <si>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</si>
  <si>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</si>
  <si>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</si>
  <si>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</si>
  <si>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</si>
  <si>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</si>
  <si>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</si>
  <si>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</si>
  <si>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</si>
  <si>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</si>
  <si>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</si>
  <si>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</si>
  <si>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</si>
  <si>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</si>
  <si>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</si>
  <si>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</si>
  <si>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</si>
  <si>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</si>
  <si>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</si>
  <si>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</si>
  <si>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</si>
  <si>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</si>
  <si>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</si>
  <si>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</si>
  <si>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</si>
  <si>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</si>
  <si>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</si>
  <si>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</si>
  <si>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</si>
  <si>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</si>
  <si>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</si>
  <si>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</si>
  <si>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</si>
  <si>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</si>
  <si>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</si>
  <si>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</si>
  <si>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</si>
  <si>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</si>
  <si>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</si>
  <si>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</si>
  <si>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</si>
  <si>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</si>
  <si>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</si>
  <si>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</si>
  <si>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</si>
  <si>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</si>
  <si>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</si>
  <si>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</si>
  <si>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</si>
  <si>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</si>
  <si>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</si>
  <si>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</si>
  <si>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</si>
  <si>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</si>
  <si>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</si>
  <si>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</si>
  <si>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</si>
  <si>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</si>
  <si>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</si>
  <si>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</si>
  <si>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</si>
  <si>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</si>
  <si>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</si>
  <si>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</si>
  <si>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</si>
  <si>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</si>
  <si>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</si>
  <si>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</si>
  <si>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</si>
  <si>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</si>
  <si>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</si>
  <si>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</si>
  <si>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</si>
  <si>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</si>
  <si>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</si>
  <si>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</si>
  <si>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</si>
  <si>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</si>
  <si>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</si>
  <si>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食物充能</t>
  </si>
  <si>
    <t>烤玉米</t>
  </si>
  <si>
    <t>防御</t>
  </si>
  <si>
    <t>玉米面包</t>
  </si>
  <si>
    <t>体力急速回复</t>
  </si>
  <si>
    <t>烧焦的肉</t>
  </si>
  <si>
    <t>攻击</t>
  </si>
  <si>
    <t>烤肉</t>
  </si>
  <si>
    <t>体力提升</t>
  </si>
  <si>
    <t>水煮肉</t>
  </si>
  <si>
    <t>回复速度</t>
  </si>
  <si>
    <t>炖肉</t>
  </si>
  <si>
    <t>精神抖擞</t>
  </si>
  <si>
    <t>牛排配土豆</t>
  </si>
  <si>
    <t>弱点特效</t>
  </si>
  <si>
    <t>山威杂烩</t>
  </si>
  <si>
    <t>力量解放</t>
  </si>
  <si>
    <t>蔬菜炖肉</t>
  </si>
  <si>
    <t>治愈收割</t>
  </si>
  <si>
    <t>鱼肉塔可</t>
  </si>
  <si>
    <t>快速换弹</t>
  </si>
  <si>
    <t>热狗</t>
  </si>
  <si>
    <t>驾驶名人</t>
  </si>
  <si>
    <t>烤土豆</t>
  </si>
  <si>
    <t>暴击耐性</t>
  </si>
  <si>
    <t>蓝莓派</t>
  </si>
  <si>
    <t>属性莲华</t>
  </si>
  <si>
    <t>南瓜派</t>
  </si>
  <si>
    <t>异常莲华</t>
  </si>
  <si>
    <t>南瓜芝士蛋糕</t>
  </si>
  <si>
    <t>炼铜</t>
  </si>
  <si>
    <t>南瓜面包</t>
  </si>
  <si>
    <t>集中</t>
  </si>
  <si>
    <t>秋葵浓汤</t>
  </si>
  <si>
    <t>盛宴</t>
  </si>
  <si>
    <t>牧羊人派</t>
  </si>
  <si>
    <t>吸血鬼之吻</t>
  </si>
  <si>
    <t>意大利面</t>
  </si>
  <si>
    <t>属性解放</t>
  </si>
  <si>
    <t>金枪鱼肉汁吐司</t>
  </si>
  <si>
    <t>贯星</t>
  </si>
  <si>
    <t>水煮蛋</t>
  </si>
  <si>
    <t>精灵加护</t>
  </si>
  <si>
    <t>培根鸡蛋</t>
  </si>
  <si>
    <t>体术</t>
  </si>
  <si>
    <t>炖杂蔬</t>
  </si>
  <si>
    <t>纳刀术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</si>
  <si>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</si>
  <si>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</si>
  <si>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</si>
  <si>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</si>
  <si>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</si>
  <si>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</si>
  <si>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</si>
  <si>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</si>
  <si>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</si>
  <si>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</si>
  <si>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</si>
  <si>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</si>
  <si>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</si>
  <si>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</si>
  <si>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</si>
  <si>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</si>
  <si>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</si>
  <si>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</si>
  <si>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</si>
  <si>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</si>
  <si>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</si>
  <si>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</si>
  <si>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</si>
  <si>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</si>
  <si>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</si>
  <si>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</si>
  <si>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</si>
  <si>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</si>
  <si>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</si>
  <si>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目前在任务和野外会刷新共计18种动物和丧尸BOSS。
后续会不断加入新的BOSS到野外和任务中。。。并增加特殊道具或装备。</t>
  </si>
  <si>
    <t>职业</t>
  </si>
  <si>
    <t>解锁虹彩技能</t>
  </si>
  <si>
    <t>专属职业效果</t>
  </si>
  <si>
    <t>拓荒者</t>
  </si>
  <si>
    <t>力量的代价：2</t>
  </si>
  <si>
    <t>地质学：1</t>
  </si>
  <si>
    <t>经验获取提升40%</t>
  </si>
  <si>
    <t>大地工匠</t>
  </si>
  <si>
    <t>力量的代价：3</t>
  </si>
  <si>
    <t>地质学：3</t>
  </si>
  <si>
    <t>破坏王：1</t>
  </si>
  <si>
    <t>经验获取提升60%</t>
  </si>
  <si>
    <t>调查员</t>
  </si>
  <si>
    <t>机械学：2</t>
  </si>
  <si>
    <t>分解达人：1</t>
  </si>
  <si>
    <t>无</t>
  </si>
  <si>
    <t>锈械狂徒</t>
  </si>
  <si>
    <t>机械学：3</t>
  </si>
  <si>
    <t>分解达人：3</t>
  </si>
  <si>
    <t>整备：1</t>
  </si>
  <si>
    <t>守护者</t>
  </si>
  <si>
    <t>护甲下降耐性：1</t>
  </si>
  <si>
    <t>防御：1</t>
  </si>
  <si>
    <t>终末壁垒</t>
  </si>
  <si>
    <t>护甲下降耐性：2</t>
  </si>
  <si>
    <t>瘴气侵蚀耐性：2</t>
  </si>
  <si>
    <t>探险家</t>
  </si>
  <si>
    <t>潜伏：1</t>
  </si>
  <si>
    <t>永恒旅者</t>
  </si>
  <si>
    <t>极意【潜伏】</t>
  </si>
  <si>
    <t>掠夺者</t>
  </si>
  <si>
    <t>战魂：1</t>
  </si>
  <si>
    <t>血契掠客</t>
  </si>
  <si>
    <t>极意【战魂】</t>
  </si>
  <si>
    <t>作战员</t>
  </si>
  <si>
    <t>精神抖擞：1</t>
  </si>
  <si>
    <t>战争使徒</t>
  </si>
  <si>
    <t>极意【精神抖擞】</t>
  </si>
  <si>
    <t>吸血鬼</t>
  </si>
  <si>
    <t>吸血鬼之吻：1</t>
  </si>
  <si>
    <t>暗夜永生</t>
  </si>
  <si>
    <t>吸血鬼之吻：2</t>
  </si>
  <si>
    <t>死里逃生：1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</si>
  <si>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</si>
  <si>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</si>
  <si>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</si>
  <si>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</si>
  <si>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</si>
  <si>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</si>
  <si>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</si>
  <si>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</si>
  <si>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</si>
  <si>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</si>
  <si>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</si>
  <si>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</si>
  <si>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</si>
  <si>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</si>
  <si>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</si>
  <si>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</si>
  <si>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</si>
  <si>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</si>
  <si>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</si>
  <si>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</si>
  <si>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</si>
  <si>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</si>
  <si>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</si>
  <si>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</si>
  <si>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</si>
  <si>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</si>
  <si>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</si>
  <si>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</si>
  <si>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</si>
  <si>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</si>
  <si>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</si>
  <si>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</si>
  <si>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</si>
  <si>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</si>
  <si>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</si>
  <si>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</si>
  <si>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</si>
  <si>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</si>
  <si>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</si>
  <si>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</si>
  <si>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</si>
  <si>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</si>
  <si>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</si>
  <si>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</si>
  <si>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</si>
  <si>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</si>
  <si>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</si>
  <si>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</si>
  <si>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</si>
  <si>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</si>
  <si>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</si>
  <si>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</si>
  <si>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</si>
  <si>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</si>
  <si>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</si>
  <si>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</si>
  <si>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</si>
  <si>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</si>
  <si>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</si>
  <si>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</si>
  <si>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</si>
  <si>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</si>
  <si>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</si>
  <si>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</si>
  <si>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</si>
  <si>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</si>
  <si>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</si>
  <si>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</si>
  <si>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</si>
  <si>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</si>
  <si>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</si>
  <si>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</si>
  <si>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</si>
  <si>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</si>
  <si>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</si>
  <si>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</si>
  <si>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</si>
  <si>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</si>
  <si>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</si>
  <si>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</si>
  <si>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</si>
  <si>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</si>
  <si>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</si>
  <si>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</si>
  <si>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</si>
  <si>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</si>
  <si>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</si>
  <si>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</si>
  <si>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</si>
  <si>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</si>
  <si>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</si>
  <si>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</si>
  <si>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</si>
  <si>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</si>
  <si>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</si>
  <si>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</si>
  <si>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</si>
  <si>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</si>
  <si>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</si>
  <si>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</si>
  <si>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</si>
  <si>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</si>
  <si>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</si>
  <si>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</si>
  <si>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</si>
  <si>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</si>
  <si>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</si>
  <si>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</si>
  <si>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</si>
  <si>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</si>
  <si>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</si>
  <si>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</si>
  <si>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</si>
  <si>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</si>
  <si>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</si>
  <si>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</si>
  <si>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</si>
  <si>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</si>
  <si>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</si>
  <si>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</si>
  <si>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</si>
  <si>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</si>
  <si>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</si>
  <si>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</si>
  <si>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</si>
  <si>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</si>
  <si>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</si>
  <si>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</si>
  <si>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</si>
  <si>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</si>
  <si>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</si>
  <si>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</si>
  <si>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</si>
  <si>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</si>
  <si>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</si>
  <si>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</si>
  <si>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</si>
  <si>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</si>
  <si>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</si>
  <si>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</si>
  <si>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</si>
  <si>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</si>
  <si>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</si>
  <si>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</si>
  <si>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</si>
  <si>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</si>
  <si>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</si>
  <si>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</si>
  <si>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</si>
  <si>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</si>
  <si>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</si>
  <si>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</si>
  <si>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</si>
  <si>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</si>
  <si>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</si>
  <si>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</si>
  <si>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</si>
  <si>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</si>
  <si>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</si>
  <si>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</si>
  <si>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</si>
  <si>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</si>
  <si>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</si>
  <si>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</si>
  <si>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</si>
  <si>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</si>
  <si>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</si>
  <si>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</si>
  <si>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</si>
  <si>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</si>
  <si>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</si>
  <si>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</si>
  <si>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</si>
  <si>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</si>
  <si>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</si>
  <si>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</si>
  <si>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</si>
  <si>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</si>
  <si>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</si>
  <si>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</si>
  <si>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</si>
  <si>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</si>
  <si>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</si>
  <si>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</si>
  <si>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</si>
  <si>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</si>
  <si>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</si>
  <si>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95</t>
  </si>
  <si>
    <t>145</t>
  </si>
  <si>
    <t>25/35</t>
  </si>
  <si>
    <t>杠杆步枪</t>
  </si>
  <si>
    <t>330</t>
  </si>
  <si>
    <t>20/30</t>
  </si>
  <si>
    <t>精准猎枪</t>
  </si>
  <si>
    <t>10/20</t>
  </si>
  <si>
    <t>AK47</t>
  </si>
  <si>
    <t>-5</t>
  </si>
  <si>
    <t>5/10</t>
  </si>
  <si>
    <t>突击步枪</t>
  </si>
  <si>
    <t>M60</t>
  </si>
  <si>
    <t>面板为爆炸伤害</t>
  </si>
  <si>
    <t>火箭筒</t>
  </si>
  <si>
    <t>125</t>
  </si>
  <si>
    <t>360</t>
  </si>
  <si>
    <t>405</t>
  </si>
  <si>
    <t>495</t>
  </si>
  <si>
    <t>25/35/45</t>
  </si>
  <si>
    <t>垃圾炮台</t>
  </si>
  <si>
    <t>猎刀</t>
  </si>
  <si>
    <t>160</t>
  </si>
  <si>
    <t>180</t>
  </si>
  <si>
    <t>255</t>
  </si>
  <si>
    <t>10/20/25</t>
  </si>
  <si>
    <t>10/15/20</t>
  </si>
  <si>
    <t>属性/异常</t>
  </si>
  <si>
    <t>砍刀</t>
  </si>
  <si>
    <t>棍棒</t>
  </si>
  <si>
    <t>20/35</t>
  </si>
  <si>
    <t>15/25</t>
  </si>
  <si>
    <t>短棒</t>
  </si>
  <si>
    <t>长矛</t>
  </si>
  <si>
    <t>大锤</t>
  </si>
  <si>
    <t>185</t>
  </si>
  <si>
    <t>235</t>
  </si>
  <si>
    <t>260</t>
  </si>
  <si>
    <t>295</t>
  </si>
  <si>
    <t>365</t>
  </si>
  <si>
    <t>15/25/35</t>
  </si>
  <si>
    <t>10/20/30</t>
  </si>
  <si>
    <t>拳套</t>
  </si>
  <si>
    <t>165</t>
  </si>
  <si>
    <t>10/15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</si>
  <si>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</si>
  <si>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</si>
  <si>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</si>
  <si>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</si>
  <si>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</si>
  <si>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</si>
  <si>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</si>
  <si>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</si>
  <si>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</si>
  <si>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</si>
  <si>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</si>
  <si>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</si>
  <si>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</si>
  <si>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</si>
  <si>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</si>
  <si>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</si>
  <si>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</si>
  <si>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</si>
  <si>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</si>
  <si>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</si>
  <si>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</si>
  <si>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</si>
  <si>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</si>
  <si>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</si>
  <si>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</si>
  <si>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</si>
  <si>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</si>
  <si>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</si>
  <si>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</si>
  <si>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</si>
  <si>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</si>
  <si>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</si>
  <si>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</si>
  <si>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</si>
  <si>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</si>
  <si>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</si>
  <si>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</si>
  <si>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</si>
  <si>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</si>
  <si>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</si>
  <si>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</si>
  <si>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</si>
  <si>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</si>
  <si>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</si>
  <si>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</si>
  <si>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</si>
  <si>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</si>
  <si>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</si>
  <si>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</si>
  <si>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</si>
  <si>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</si>
  <si>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</si>
  <si>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</si>
  <si>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</si>
  <si>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</si>
  <si>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</si>
  <si>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</si>
  <si>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</si>
  <si>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</si>
  <si>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</si>
  <si>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</si>
  <si>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</si>
  <si>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</si>
  <si>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</si>
  <si>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</si>
  <si>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</si>
  <si>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</si>
  <si>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</si>
  <si>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</si>
  <si>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</si>
  <si>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</si>
  <si>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</si>
  <si>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</si>
  <si>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</si>
  <si>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</si>
  <si>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</si>
  <si>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</si>
  <si>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</si>
  <si>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</si>
  <si>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</si>
  <si>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</si>
  <si>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</si>
  <si>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</si>
  <si>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</si>
  <si>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</si>
  <si>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</si>
  <si>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</si>
  <si>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</si>
  <si>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</si>
  <si>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</si>
  <si>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</si>
  <si>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</si>
  <si>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</si>
  <si>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</si>
  <si>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</si>
  <si>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</si>
  <si>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</si>
  <si>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</si>
  <si>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</si>
  <si>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</si>
  <si>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</si>
  <si>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</si>
  <si>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</si>
  <si>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</si>
  <si>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</si>
  <si>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</si>
  <si>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</si>
  <si>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</si>
  <si>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</si>
  <si>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</si>
  <si>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</si>
  <si>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</si>
  <si>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</si>
  <si>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</si>
  <si>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</si>
  <si>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</si>
  <si>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</si>
  <si>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</si>
  <si>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</si>
  <si>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</si>
  <si>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</si>
  <si>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</si>
  <si>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潜伏</t>
  </si>
  <si>
    <t>矿石</t>
  </si>
  <si>
    <t>烤肉名人</t>
  </si>
  <si>
    <t>护甲下降耐性</t>
  </si>
  <si>
    <t>瘴气侵蚀耐性</t>
  </si>
  <si>
    <t>Arlene</t>
  </si>
  <si>
    <t>阿琳</t>
  </si>
  <si>
    <t>植生学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</si>
  <si>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</si>
  <si>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</si>
  <si>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</si>
  <si>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</si>
  <si>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</si>
  <si>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</si>
  <si>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</si>
  <si>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</si>
  <si>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</si>
  <si>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</si>
  <si>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</si>
  <si>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</si>
  <si>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</si>
  <si>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</si>
  <si>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</si>
  <si>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</si>
  <si>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</si>
  <si>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</si>
  <si>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</si>
  <si>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</si>
  <si>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</si>
  <si>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</si>
  <si>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</si>
  <si>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</si>
  <si>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</si>
  <si>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</si>
  <si>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</si>
  <si>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</si>
  <si>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</si>
  <si>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</si>
  <si>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</si>
  <si>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</si>
  <si>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</si>
  <si>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</si>
  <si>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</si>
  <si>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</si>
  <si>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</si>
  <si>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</si>
  <si>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</si>
  <si>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</si>
  <si>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</si>
  <si>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</si>
  <si>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</si>
  <si>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</si>
  <si>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</si>
  <si>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</si>
  <si>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</si>
  <si>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</si>
  <si>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</si>
  <si>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</si>
  <si>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</si>
  <si>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</si>
  <si>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</si>
  <si>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</si>
  <si>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</si>
  <si>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</si>
  <si>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MaleHazmat</t>
  </si>
  <si>
    <t>穿着防化服的丧尸</t>
  </si>
  <si>
    <t>电击耐性</t>
  </si>
  <si>
    <t>电属性攻击强化</t>
  </si>
  <si>
    <t>Janitor</t>
  </si>
  <si>
    <t>看门人</t>
  </si>
  <si>
    <t>察觉</t>
  </si>
  <si>
    <t>不屈</t>
  </si>
  <si>
    <t>Inmate</t>
  </si>
  <si>
    <t>犯人</t>
  </si>
  <si>
    <t>跑者</t>
  </si>
  <si>
    <t>贯通弹/爆破强化</t>
  </si>
  <si>
    <t>弹药节约</t>
  </si>
  <si>
    <t>Moe</t>
  </si>
  <si>
    <t>莫伊</t>
  </si>
  <si>
    <t>燃血</t>
  </si>
  <si>
    <t>转祸为福</t>
  </si>
  <si>
    <t>Lab</t>
  </si>
  <si>
    <t>实验室工作人员</t>
  </si>
  <si>
    <t>精准医疗</t>
  </si>
  <si>
    <t>火属性攻击强化</t>
  </si>
  <si>
    <t>Darlene</t>
  </si>
  <si>
    <t>达琳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</si>
  <si>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</si>
  <si>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</si>
  <si>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</si>
  <si>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</si>
  <si>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</si>
  <si>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</si>
  <si>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</si>
  <si>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</si>
  <si>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</si>
  <si>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Biker</t>
  </si>
  <si>
    <t>摩托车手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</si>
  <si>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</si>
  <si>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</si>
  <si>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</si>
  <si>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</si>
  <si>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</si>
  <si>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</si>
  <si>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</si>
  <si>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炮术</t>
  </si>
  <si>
    <t>FatHawaiian</t>
  </si>
  <si>
    <t>游客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</si>
  <si>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</si>
  <si>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</si>
  <si>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</si>
  <si>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</si>
  <si>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</si>
  <si>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</si>
  <si>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</si>
  <si>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</si>
  <si>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</si>
  <si>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</si>
  <si>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</si>
  <si>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</si>
  <si>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</si>
  <si>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</si>
  <si>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</si>
  <si>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</si>
  <si>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</si>
  <si>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</si>
  <si>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</si>
  <si>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</si>
  <si>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</si>
  <si>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</si>
  <si>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</si>
  <si>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</si>
  <si>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</si>
  <si>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</si>
  <si>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</si>
  <si>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</si>
  <si>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</si>
  <si>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</si>
  <si>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</si>
  <si>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</si>
  <si>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</si>
  <si>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</si>
  <si>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</si>
  <si>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</si>
  <si>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</si>
  <si>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</si>
  <si>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-32</t>
  </si>
  <si>
    <t>狂化装备</t>
  </si>
  <si>
    <t>可安装多技能晶石</t>
  </si>
  <si>
    <t>狂化30</t>
  </si>
  <si>
    <t>2件套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</si>
  <si>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</si>
  <si>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</si>
  <si>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</si>
  <si>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</si>
  <si>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</si>
  <si>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</si>
  <si>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</si>
  <si>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</si>
  <si>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</si>
  <si>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</si>
  <si>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</si>
  <si>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</si>
  <si>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</si>
  <si>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</si>
  <si>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</si>
  <si>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</si>
  <si>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</si>
  <si>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</si>
  <si>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</si>
  <si>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</si>
  <si>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</si>
  <si>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</si>
  <si>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</si>
  <si>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</si>
  <si>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</si>
  <si>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</si>
  <si>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</si>
  <si>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</si>
  <si>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</si>
  <si>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</si>
  <si>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</si>
  <si>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</si>
  <si>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</si>
  <si>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</si>
  <si>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</si>
  <si>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</si>
  <si>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</si>
  <si>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</si>
  <si>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</si>
  <si>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</si>
  <si>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</si>
  <si>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</si>
  <si>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</si>
  <si>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</si>
  <si>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</si>
  <si>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</si>
  <si>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</si>
  <si>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</si>
  <si>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</si>
  <si>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</si>
  <si>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</si>
  <si>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</si>
  <si>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</si>
  <si>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</si>
  <si>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</si>
  <si>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</si>
  <si>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</si>
  <si>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</si>
  <si>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</si>
  <si>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</si>
  <si>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</si>
  <si>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</si>
  <si>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</si>
  <si>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</si>
  <si>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</si>
  <si>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人工体学握把</t>
  </si>
  <si>
    <t>Rank4</t>
  </si>
  <si>
    <t>Rank6</t>
  </si>
  <si>
    <t>Rank8</t>
  </si>
  <si>
    <t>力量的代价</t>
  </si>
  <si>
    <t>可制作的雪茄</t>
  </si>
  <si>
    <t>目前所有已知技能均可制作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</si>
  <si>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</si>
  <si>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</si>
  <si>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</si>
  <si>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</si>
  <si>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</si>
  <si>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</si>
  <si>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</si>
  <si>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</si>
  <si>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</si>
  <si>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#F4B382</t>
  </si>
  <si>
    <t>银之炼金包</t>
  </si>
  <si>
    <t>#CCFFFF</t>
  </si>
  <si>
    <t>腐朽的晶石</t>
  </si>
  <si>
    <t>#FF0000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</si>
  <si>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</si>
  <si>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</si>
  <si>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</si>
  <si>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</si>
  <si>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</si>
  <si>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</si>
  <si>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</si>
  <si>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</si>
  <si>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</si>
  <si>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</si>
  <si>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</si>
  <si>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</si>
  <si>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</si>
  <si>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</si>
  <si>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</si>
  <si>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</si>
  <si>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</si>
  <si>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</si>
  <si>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</si>
  <si>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</si>
  <si>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</si>
  <si>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</si>
  <si>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</si>
  <si>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</si>
  <si>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</si>
  <si>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</si>
  <si>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</si>
  <si>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</si>
  <si>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</si>
  <si>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</si>
  <si>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</si>
  <si>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</si>
  <si>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</si>
  <si>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</si>
  <si>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</si>
  <si>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</si>
  <si>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</si>
  <si>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</si>
  <si>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</si>
  <si>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</si>
  <si>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</si>
  <si>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</si>
  <si>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</si>
  <si>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</si>
  <si>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</si>
  <si>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</si>
  <si>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</si>
  <si>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</si>
  <si>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</si>
  <si>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</si>
  <si>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</si>
  <si>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</si>
  <si>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</si>
  <si>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</si>
  <si>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</si>
  <si>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</si>
  <si>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</si>
  <si>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</si>
  <si>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</si>
  <si>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</si>
  <si>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</si>
  <si>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</si>
  <si>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</si>
  <si>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</si>
  <si>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</si>
  <si>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</si>
  <si>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</si>
  <si>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</si>
  <si>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源</t>
  </si>
  <si>
    <t>源 · [死中求活]</t>
  </si>
  <si>
    <t>自身生命值一半以下时，生命自然回复速度提升。</t>
  </si>
  <si>
    <t>源 · [震荡]</t>
  </si>
  <si>
    <t>自身每有50剩余耐力\n攻击时使目标及周围附加1层【震荡】（最多5层）\n\n【震荡】：每0.5秒移除一层，造成 50 点真实伤害，该伤害无法致命。</t>
  </si>
  <si>
    <t>源 · [狂风骤雨]</t>
  </si>
  <si>
    <t>自身生命值在 35% 以上时\n生命值快速流失\n\n攻击力提升。</t>
  </si>
  <si>
    <t>源 · [磁暴脉冲]</t>
  </si>
  <si>
    <t>受到伤害时对自身附近其他目标造成电击（冷却12秒）。</t>
  </si>
  <si>
    <t>源 · [愉悦]</t>
  </si>
  <si>
    <t>攻击处于燃烧、电击、流血、辐射中的敌人后的一段时间内\n自身移速提升20%\n攻击力提升25</t>
  </si>
  <si>
    <t>源 · [寒气炼成]</t>
  </si>
  <si>
    <t>未进行攻击动作时可积攒【寒气炼成】，每层【寒气炼成】可提升攻击力。\n进行攻击后，消耗所有【寒气炼成】</t>
  </si>
  <si>
    <t>源 · [雷霆之翼]</t>
  </si>
  <si>
    <t>目光所及之地，瞬息可达。\n\n按 F 开启/关闭 雷霆之翼</t>
  </si>
  <si>
    <t>源 · [活性医疗]</t>
  </si>
  <si>
    <t>自身受到伤害时，瞬时生命回复 5 （冷却1秒）。</t>
  </si>
  <si>
    <t>源 · [灵烁幽影]</t>
  </si>
  <si>
    <t>受到攻击后，有几率随机传送到附近其他位置。</t>
  </si>
  <si>
    <t>源 · [异常自愈]</t>
  </si>
  <si>
    <t>移除自身正在生效的一项DEBUFF（冷却30秒）。\n\n可移除DEBUFF：\n流血、裂伤、擦伤、擦伤处理、扭伤的手臂、扭伤的腿、疲劳、脑震荡、眩晕、感染、断臂、断腿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</si>
  <si>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</si>
  <si>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</si>
  <si>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</si>
  <si>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</si>
  <si>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</si>
  <si>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</si>
  <si>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</si>
  <si>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</si>
  <si>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</si>
  <si>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</si>
  <si>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</si>
  <si>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</si>
  <si>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</si>
  <si>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</si>
  <si>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</si>
  <si>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</si>
  <si>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</si>
  <si>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</si>
  <si>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</si>
  <si>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</si>
  <si>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</si>
  <si>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</si>
  <si>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</si>
  <si>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</si>
  <si>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</si>
  <si>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</si>
  <si>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百分比攻击力 ➕ 潜行倍率 ) ✖ 百分比伤害补正 ) ➕ 固定伤害补正 ) ✖ ( 1 ➖ ( 目标被穿甲后的护甲值 ➗ 100 ) ) ✖ ( 1 ➖ ( 目标伤害减免 ) )</t>
  </si>
  <si>
    <t>另：</t>
  </si>
  <si>
    <t>伤害补正 = 会心伤害倍率</t>
  </si>
  <si>
    <t>520</t>
    <phoneticPr fontId="9" type="noConversion"/>
  </si>
  <si>
    <t>200</t>
    <phoneticPr fontId="9" type="noConversion"/>
  </si>
  <si>
    <t>360</t>
    <phoneticPr fontId="9" type="noConversion"/>
  </si>
  <si>
    <t>1500/150</t>
    <phoneticPr fontId="9" type="noConversion"/>
  </si>
  <si>
    <t>5000/500</t>
    <phoneticPr fontId="9" type="noConversion"/>
  </si>
  <si>
    <t>2000/200</t>
    <phoneticPr fontId="9" type="noConversion"/>
  </si>
  <si>
    <t>3500/350</t>
    <phoneticPr fontId="9" type="noConversion"/>
  </si>
  <si>
    <t>600/60</t>
    <phoneticPr fontId="9" type="noConversion"/>
  </si>
  <si>
    <t>1000/100</t>
    <phoneticPr fontId="9" type="noConversion"/>
  </si>
  <si>
    <t>1000/15000</t>
    <phoneticPr fontId="9" type="noConversion"/>
  </si>
  <si>
    <t>750/10000</t>
    <phoneticPr fontId="9" type="noConversion"/>
  </si>
  <si>
    <t>500/5000</t>
    <phoneticPr fontId="9" type="noConversion"/>
  </si>
  <si>
    <t>--</t>
    <phoneticPr fontId="11" type="noConversion"/>
  </si>
  <si>
    <t>蓝蘑菇</t>
    <phoneticPr fontId="11" type="noConversion"/>
  </si>
  <si>
    <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文档版本：V2.5.26.667
七日杀游戏版本：V2.5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</si>
</sst>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24"/>
      <color theme="1"/>
      <name val="宋体"/>
      <charset val="134"/>
      <scheme val="minor"/>
    </font>
    <font>
      <sz val="14"/>
      <color rgb="FFFF0000"/>
      <name val="宋体"/>
      <charset val="134"/>
      <scheme val="minor"/>
    </font>
    <font>
      <sz val="11"/>
      <color rgb="FFF09457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48"/>
      <color theme="1"/>
      <name val="宋体"/>
      <family val="3"/>
      <charset val="134"/>
      <scheme val="minor"/>
    </font>
  </fonts>
  <fills count="6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4B38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0" borderId="0" xfId="0" applyFont="1" applyFill="1" applyAlignment="1"/>
    <xf numFmtId="0" fontId="0" fillId="5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0" borderId="0" xfId="0" applyAlignment="1">
      <alignment horizontal="right" vertical="center"/>
    </xf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0" fontId="0" fillId="0" borderId="12" xfId="0" applyFont="1" applyFill="1" applyBorder="1" applyAlignment="1">
      <alignment horizontal="right" vertical="center"/>
    </xf>
    <xf numFmtId="0" fontId="0" fillId="8" borderId="12" xfId="0" applyFont="1" applyFill="1" applyBorder="1" applyAlignment="1"/>
    <xf numFmtId="0" fontId="0" fillId="0" borderId="12" xfId="0" applyFont="1" applyFill="1" applyBorder="1" applyAlignment="1"/>
    <xf numFmtId="0" fontId="0" fillId="15" borderId="12" xfId="0" applyFont="1" applyFill="1" applyBorder="1" applyAlignment="1">
      <alignment horizontal="right" vertical="center"/>
    </xf>
    <xf numFmtId="0" fontId="0" fillId="15" borderId="12" xfId="0" applyFont="1" applyFill="1" applyBorder="1" applyAlignment="1"/>
    <xf numFmtId="0" fontId="0" fillId="15" borderId="12" xfId="0" applyFont="1" applyFill="1" applyBorder="1" applyAlignment="1">
      <alignment horizontal="right"/>
    </xf>
    <xf numFmtId="49" fontId="0" fillId="14" borderId="12" xfId="0" applyNumberFormat="1" applyFont="1" applyFill="1" applyBorder="1" applyAlignment="1">
      <alignment horizontal="right" vertical="center"/>
    </xf>
    <xf numFmtId="49" fontId="0" fillId="14" borderId="12" xfId="0" applyNumberFormat="1" applyFont="1" applyFill="1" applyBorder="1" applyAlignment="1">
      <alignment horizontal="right"/>
    </xf>
    <xf numFmtId="0" fontId="0" fillId="16" borderId="12" xfId="0" applyFont="1" applyFill="1" applyBorder="1" applyAlignment="1">
      <alignment horizontal="right"/>
    </xf>
    <xf numFmtId="0" fontId="0" fillId="16" borderId="12" xfId="0" applyFont="1" applyFill="1" applyBorder="1" applyAlignment="1"/>
    <xf numFmtId="49" fontId="0" fillId="16" borderId="12" xfId="0" applyNumberFormat="1" applyFont="1" applyFill="1" applyBorder="1" applyAlignment="1">
      <alignment horizontal="right"/>
    </xf>
    <xf numFmtId="49" fontId="0" fillId="0" borderId="0" xfId="0" applyNumberFormat="1" applyFont="1">
      <alignment vertical="center"/>
    </xf>
    <xf numFmtId="49" fontId="0" fillId="17" borderId="0" xfId="0" applyNumberFormat="1" applyFont="1" applyFill="1" applyAlignment="1"/>
    <xf numFmtId="49" fontId="0" fillId="18" borderId="0" xfId="0" applyNumberFormat="1" applyFont="1" applyFill="1" applyAlignment="1"/>
    <xf numFmtId="49" fontId="0" fillId="19" borderId="0" xfId="0" applyNumberFormat="1" applyFont="1" applyFill="1" applyAlignment="1"/>
    <xf numFmtId="49" fontId="0" fillId="15" borderId="0" xfId="0" applyNumberFormat="1" applyFont="1" applyFill="1" applyAlignment="1"/>
    <xf numFmtId="49" fontId="0" fillId="20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21" borderId="0" xfId="0" applyNumberFormat="1" applyFill="1">
      <alignment vertical="center"/>
    </xf>
    <xf numFmtId="49" fontId="0" fillId="22" borderId="0" xfId="0" applyNumberFormat="1" applyFont="1" applyFill="1" applyAlignment="1"/>
    <xf numFmtId="49" fontId="0" fillId="23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24" borderId="0" xfId="0" applyNumberFormat="1" applyFont="1" applyFill="1" applyAlignment="1"/>
    <xf numFmtId="49" fontId="0" fillId="25" borderId="0" xfId="0" applyNumberFormat="1" applyFont="1" applyFill="1" applyAlignment="1"/>
    <xf numFmtId="49" fontId="0" fillId="26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49" fontId="0" fillId="28" borderId="12" xfId="0" applyNumberFormat="1" applyFill="1" applyBorder="1" applyAlignment="1">
      <alignment horizontal="center" vertical="center"/>
    </xf>
    <xf numFmtId="49" fontId="0" fillId="28" borderId="12" xfId="0" applyNumberFormat="1" applyFill="1" applyBorder="1">
      <alignment vertical="center"/>
    </xf>
    <xf numFmtId="49" fontId="0" fillId="0" borderId="12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28" borderId="0" xfId="0" applyNumberFormat="1" applyFill="1">
      <alignment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33" borderId="0" xfId="0" applyNumberFormat="1" applyFont="1" applyFill="1" applyAlignment="1">
      <alignment horizontal="center" vertical="center"/>
    </xf>
    <xf numFmtId="49" fontId="0" fillId="33" borderId="0" xfId="0" applyNumberFormat="1" applyFill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4" borderId="0" xfId="0" applyNumberFormat="1" applyFill="1" applyAlignment="1">
      <alignment horizontal="center" vertical="center"/>
    </xf>
    <xf numFmtId="49" fontId="0" fillId="34" borderId="0" xfId="0" applyNumberFormat="1" applyFont="1" applyFill="1" applyAlignment="1">
      <alignment horizontal="center" vertical="center"/>
    </xf>
    <xf numFmtId="49" fontId="0" fillId="35" borderId="0" xfId="0" applyNumberFormat="1" applyFill="1">
      <alignment vertical="center"/>
    </xf>
    <xf numFmtId="49" fontId="0" fillId="36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0" fontId="0" fillId="40" borderId="0" xfId="0" applyFill="1">
      <alignment vertical="center"/>
    </xf>
    <xf numFmtId="0" fontId="0" fillId="0" borderId="12" xfId="0" applyBorder="1">
      <alignment vertical="center"/>
    </xf>
    <xf numFmtId="0" fontId="0" fillId="29" borderId="12" xfId="0" applyFill="1" applyBorder="1">
      <alignment vertical="center"/>
    </xf>
    <xf numFmtId="0" fontId="0" fillId="16" borderId="13" xfId="0" applyFill="1" applyBorder="1" applyAlignment="1">
      <alignment horizontal="center" vertical="center"/>
    </xf>
    <xf numFmtId="0" fontId="0" fillId="35" borderId="12" xfId="0" applyFill="1" applyBorder="1">
      <alignment vertical="center"/>
    </xf>
    <xf numFmtId="0" fontId="0" fillId="31" borderId="12" xfId="0" applyFill="1" applyBorder="1">
      <alignment vertical="center"/>
    </xf>
    <xf numFmtId="0" fontId="0" fillId="0" borderId="12" xfId="0" applyBorder="1" applyAlignment="1">
      <alignment horizontal="center" vertical="center"/>
    </xf>
    <xf numFmtId="49" fontId="0" fillId="0" borderId="4" xfId="0" applyNumberFormat="1" applyFont="1" applyFill="1" applyBorder="1" applyAlignment="1">
      <alignment horizontal="right"/>
    </xf>
    <xf numFmtId="49" fontId="0" fillId="0" borderId="5" xfId="0" applyNumberFormat="1" applyFont="1" applyFill="1" applyBorder="1" applyAlignment="1">
      <alignment horizontal="right"/>
    </xf>
    <xf numFmtId="49" fontId="0" fillId="0" borderId="6" xfId="0" applyNumberFormat="1" applyFont="1" applyFill="1" applyBorder="1" applyAlignment="1">
      <alignment horizontal="right"/>
    </xf>
    <xf numFmtId="49" fontId="0" fillId="0" borderId="1" xfId="0" applyNumberFormat="1" applyFont="1" applyFill="1" applyBorder="1" applyAlignment="1">
      <alignment horizontal="right"/>
    </xf>
    <xf numFmtId="49" fontId="0" fillId="0" borderId="2" xfId="0" applyNumberFormat="1" applyFont="1" applyFill="1" applyBorder="1" applyAlignment="1">
      <alignment horizontal="right" vertical="center"/>
    </xf>
    <xf numFmtId="49" fontId="0" fillId="0" borderId="2" xfId="0" applyNumberFormat="1" applyFont="1" applyFill="1" applyBorder="1" applyAlignment="1">
      <alignment horizontal="right"/>
    </xf>
    <xf numFmtId="49" fontId="0" fillId="0" borderId="3" xfId="0" applyNumberFormat="1" applyFont="1" applyFill="1" applyBorder="1" applyAlignment="1">
      <alignment horizontal="right"/>
    </xf>
    <xf numFmtId="49" fontId="0" fillId="0" borderId="7" xfId="0" applyNumberFormat="1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8" xfId="0" applyNumberFormat="1" applyFont="1" applyFill="1" applyBorder="1" applyAlignment="1">
      <alignment horizontal="right" vertical="center"/>
    </xf>
    <xf numFmtId="49" fontId="0" fillId="42" borderId="2" xfId="0" applyNumberFormat="1" applyFont="1" applyFill="1" applyBorder="1" applyAlignment="1">
      <alignment horizontal="right"/>
    </xf>
    <xf numFmtId="49" fontId="0" fillId="42" borderId="3" xfId="0" applyNumberFormat="1" applyFont="1" applyFill="1" applyBorder="1" applyAlignment="1">
      <alignment horizontal="right"/>
    </xf>
    <xf numFmtId="49" fontId="0" fillId="42" borderId="0" xfId="0" applyNumberFormat="1" applyFont="1" applyFill="1" applyAlignment="1">
      <alignment horizontal="right"/>
    </xf>
    <xf numFmtId="49" fontId="0" fillId="0" borderId="5" xfId="0" applyNumberFormat="1" applyFont="1" applyFill="1" applyBorder="1" applyAlignment="1">
      <alignment horizontal="right" vertical="center"/>
    </xf>
    <xf numFmtId="49" fontId="0" fillId="42" borderId="5" xfId="0" applyNumberFormat="1" applyFont="1" applyFill="1" applyBorder="1" applyAlignment="1">
      <alignment horizontal="right"/>
    </xf>
    <xf numFmtId="49" fontId="0" fillId="42" borderId="6" xfId="0" applyNumberFormat="1" applyFont="1" applyFill="1" applyBorder="1" applyAlignment="1">
      <alignment horizontal="right"/>
    </xf>
    <xf numFmtId="49" fontId="0" fillId="0" borderId="8" xfId="0" applyNumberFormat="1" applyFont="1" applyFill="1" applyBorder="1" applyAlignment="1">
      <alignment horizontal="right"/>
    </xf>
    <xf numFmtId="49" fontId="0" fillId="43" borderId="0" xfId="0" applyNumberFormat="1" applyFont="1" applyFill="1" applyAlignment="1"/>
    <xf numFmtId="49" fontId="0" fillId="0" borderId="11" xfId="0" applyNumberFormat="1" applyFont="1" applyFill="1" applyBorder="1" applyAlignment="1">
      <alignment horizontal="center" vertical="center"/>
    </xf>
    <xf numFmtId="49" fontId="0" fillId="3" borderId="11" xfId="0" applyNumberFormat="1" applyFont="1" applyFill="1" applyBorder="1" applyAlignment="1">
      <alignment horizontal="center" vertical="center"/>
    </xf>
    <xf numFmtId="49" fontId="0" fillId="44" borderId="11" xfId="0" applyNumberFormat="1" applyFont="1" applyFill="1" applyBorder="1" applyAlignment="1">
      <alignment horizontal="center" vertical="center"/>
    </xf>
    <xf numFmtId="49" fontId="0" fillId="45" borderId="11" xfId="0" applyNumberFormat="1" applyFont="1" applyFill="1" applyBorder="1" applyAlignment="1">
      <alignment horizontal="center" vertical="center"/>
    </xf>
    <xf numFmtId="49" fontId="0" fillId="46" borderId="11" xfId="0" applyNumberFormat="1" applyFont="1" applyFill="1" applyBorder="1" applyAlignment="1">
      <alignment horizontal="center" vertical="center"/>
    </xf>
    <xf numFmtId="49" fontId="0" fillId="22" borderId="11" xfId="0" applyNumberFormat="1" applyFont="1" applyFill="1" applyBorder="1" applyAlignment="1">
      <alignment horizontal="center" vertical="center"/>
    </xf>
    <xf numFmtId="49" fontId="0" fillId="3" borderId="0" xfId="0" applyNumberFormat="1" applyFont="1" applyFill="1" applyAlignment="1"/>
    <xf numFmtId="49" fontId="0" fillId="3" borderId="12" xfId="0" applyNumberForma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49" fontId="0" fillId="3" borderId="12" xfId="0" applyNumberFormat="1" applyFont="1" applyFill="1" applyBorder="1" applyAlignment="1">
      <alignment horizontal="center" vertical="center"/>
    </xf>
    <xf numFmtId="49" fontId="0" fillId="44" borderId="12" xfId="0" applyNumberFormat="1" applyFont="1" applyFill="1" applyBorder="1" applyAlignment="1">
      <alignment horizontal="center" vertical="center"/>
    </xf>
    <xf numFmtId="49" fontId="0" fillId="45" borderId="12" xfId="0" applyNumberFormat="1" applyFont="1" applyFill="1" applyBorder="1" applyAlignment="1">
      <alignment horizontal="center" vertical="center"/>
    </xf>
    <xf numFmtId="49" fontId="0" fillId="46" borderId="12" xfId="0" applyNumberFormat="1" applyFont="1" applyFill="1" applyBorder="1" applyAlignment="1">
      <alignment horizontal="center" vertical="center"/>
    </xf>
    <xf numFmtId="49" fontId="0" fillId="22" borderId="0" xfId="0" applyNumberFormat="1" applyFont="1" applyFill="1" applyAlignment="1">
      <alignment horizontal="center" vertical="center"/>
    </xf>
    <xf numFmtId="49" fontId="0" fillId="47" borderId="0" xfId="0" applyNumberFormat="1" applyFont="1" applyFill="1" applyAlignment="1"/>
    <xf numFmtId="49" fontId="0" fillId="48" borderId="0" xfId="0" applyNumberFormat="1" applyFont="1" applyFill="1" applyAlignment="1"/>
    <xf numFmtId="49" fontId="0" fillId="3" borderId="0" xfId="0" applyNumberFormat="1" applyFill="1" applyAlignment="1">
      <alignment horizontal="center" vertical="center"/>
    </xf>
    <xf numFmtId="49" fontId="0" fillId="28" borderId="0" xfId="0" applyNumberFormat="1" applyFill="1" applyBorder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49" fontId="0" fillId="0" borderId="0" xfId="0" applyNumberFormat="1" applyBorder="1">
      <alignment vertical="center"/>
    </xf>
    <xf numFmtId="49" fontId="0" fillId="27" borderId="0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Font="1" applyFill="1" applyBorder="1" applyAlignment="1">
      <alignment horizont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0" fontId="0" fillId="17" borderId="0" xfId="0" applyFont="1" applyFill="1" applyAlignment="1"/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0" fontId="0" fillId="48" borderId="0" xfId="0" applyFont="1" applyFill="1" applyAlignment="1"/>
    <xf numFmtId="0" fontId="0" fillId="15" borderId="0" xfId="0" applyFont="1" applyFill="1" applyAlignment="1"/>
    <xf numFmtId="49" fontId="0" fillId="59" borderId="0" xfId="0" applyNumberFormat="1" applyFill="1">
      <alignment vertical="center"/>
    </xf>
    <xf numFmtId="0" fontId="0" fillId="19" borderId="0" xfId="0" applyFont="1" applyFill="1" applyAlignment="1"/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0" fontId="0" fillId="0" borderId="0" xfId="0" quotePrefix="1" applyFont="1" applyFill="1" applyAlignment="1"/>
    <xf numFmtId="49" fontId="0" fillId="27" borderId="0" xfId="0" applyNumberFormat="1" applyFill="1" applyAlignment="1">
      <alignment horizontal="center" vertical="center"/>
    </xf>
    <xf numFmtId="49" fontId="0" fillId="29" borderId="0" xfId="0" applyNumberFormat="1" applyFill="1" applyAlignment="1">
      <alignment horizontal="center" vertical="center"/>
    </xf>
    <xf numFmtId="49" fontId="1" fillId="28" borderId="12" xfId="0" applyNumberFormat="1" applyFont="1" applyFill="1" applyBorder="1" applyAlignment="1">
      <alignment horizontal="center" vertical="center"/>
    </xf>
    <xf numFmtId="49" fontId="1" fillId="27" borderId="12" xfId="0" applyNumberFormat="1" applyFont="1" applyFill="1" applyBorder="1" applyAlignment="1">
      <alignment horizontal="center" vertical="center"/>
    </xf>
    <xf numFmtId="49" fontId="1" fillId="37" borderId="12" xfId="0" applyNumberFormat="1" applyFont="1" applyFill="1" applyBorder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 wrapText="1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60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0" fillId="0" borderId="12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1" fillId="2" borderId="12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41" borderId="9" xfId="0" applyFill="1" applyBorder="1" applyAlignment="1">
      <alignment horizontal="center" vertical="center"/>
    </xf>
    <xf numFmtId="0" fontId="0" fillId="41" borderId="10" xfId="0" applyFill="1" applyBorder="1" applyAlignment="1">
      <alignment horizontal="center" vertical="center"/>
    </xf>
    <xf numFmtId="0" fontId="0" fillId="41" borderId="11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4" fillId="16" borderId="12" xfId="0" applyFont="1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49" fontId="3" fillId="13" borderId="0" xfId="0" applyNumberFormat="1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14" borderId="9" xfId="0" applyNumberFormat="1" applyFont="1" applyFill="1" applyBorder="1" applyAlignment="1">
      <alignment horizontal="center" vertical="center"/>
    </xf>
    <xf numFmtId="49" fontId="0" fillId="14" borderId="10" xfId="0" applyNumberFormat="1" applyFont="1" applyFill="1" applyBorder="1" applyAlignment="1">
      <alignment horizontal="center" vertical="center"/>
    </xf>
    <xf numFmtId="49" fontId="0" fillId="14" borderId="11" xfId="0" applyNumberFormat="1" applyFont="1" applyFill="1" applyBorder="1" applyAlignment="1">
      <alignment horizontal="center" vertical="center"/>
    </xf>
    <xf numFmtId="49" fontId="0" fillId="14" borderId="12" xfId="0" applyNumberFormat="1" applyFon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10" fillId="0" borderId="12" xfId="0" applyNumberFormat="1" applyFont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0" fontId="10" fillId="0" borderId="0" xfId="0" applyFont="1">
      <alignment vertical="center"/>
    </xf>
    <xf numFmtId="49" fontId="12" fillId="2" borderId="12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7CDED7"/>
      <color rgb="FFADD88D"/>
      <color rgb="FFE03C53"/>
      <color rgb="FF32B6AB"/>
      <color rgb="FFFF66B2"/>
      <color rgb="FF82BF51"/>
      <color rgb="FFEF949F"/>
      <color rgb="FFF09457"/>
      <color rgb="FFFADADE"/>
      <color rgb="FFF4B3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7:Q51"/>
  <sheetViews>
    <sheetView tabSelected="1" workbookViewId="0">
      <selection activeCell="C7" sqref="C7:Q51"/>
    </sheetView>
  </sheetViews>
  <sheetFormatPr defaultColWidth="8.7265625" defaultRowHeight="14" x14ac:dyDescent="0.25"/>
  <sheetData>
    <row r="7" spans="3:17" x14ac:dyDescent="0.25">
      <c r="C7" s="223" t="s">
        <v>1118</v>
      </c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</row>
    <row r="8" spans="3:17" x14ac:dyDescent="0.25"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</row>
    <row r="9" spans="3:17" x14ac:dyDescent="0.25"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157"/>
      <c r="O9" s="157"/>
      <c r="P9" s="157"/>
      <c r="Q9" s="157"/>
    </row>
    <row r="10" spans="3:17" x14ac:dyDescent="0.25">
      <c r="C10" s="157"/>
      <c r="D10" s="157"/>
      <c r="E10" s="157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</row>
    <row r="11" spans="3:17" x14ac:dyDescent="0.25">
      <c r="C11" s="157"/>
      <c r="D11" s="157"/>
      <c r="E11" s="157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</row>
    <row r="12" spans="3:17" x14ac:dyDescent="0.25">
      <c r="C12" s="157"/>
      <c r="D12" s="157"/>
      <c r="E12" s="157"/>
      <c r="F12" s="157"/>
      <c r="G12" s="157"/>
      <c r="H12" s="157"/>
      <c r="I12" s="157"/>
      <c r="J12" s="157"/>
      <c r="K12" s="157"/>
      <c r="L12" s="157"/>
      <c r="M12" s="157"/>
      <c r="N12" s="157"/>
      <c r="O12" s="157"/>
      <c r="P12" s="157"/>
      <c r="Q12" s="157"/>
    </row>
    <row r="13" spans="3:17" x14ac:dyDescent="0.25">
      <c r="C13" s="157"/>
      <c r="D13" s="157"/>
      <c r="E13" s="157"/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</row>
    <row r="14" spans="3:17" x14ac:dyDescent="0.25">
      <c r="C14" s="157"/>
      <c r="D14" s="157"/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</row>
    <row r="15" spans="3:17" x14ac:dyDescent="0.25">
      <c r="C15" s="157"/>
      <c r="D15" s="157"/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</row>
    <row r="16" spans="3:17" x14ac:dyDescent="0.25"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</row>
    <row r="17" spans="3:17" x14ac:dyDescent="0.25"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</row>
    <row r="18" spans="3:17" x14ac:dyDescent="0.25"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</row>
    <row r="19" spans="3:17" x14ac:dyDescent="0.25">
      <c r="C19" s="157"/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</row>
    <row r="20" spans="3:17" x14ac:dyDescent="0.25">
      <c r="C20" s="157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</row>
    <row r="21" spans="3:17" x14ac:dyDescent="0.25"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</row>
    <row r="22" spans="3:17" x14ac:dyDescent="0.25">
      <c r="C22" s="157"/>
      <c r="D22" s="157"/>
      <c r="E22" s="157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</row>
    <row r="23" spans="3:17" x14ac:dyDescent="0.25"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</row>
    <row r="24" spans="3:17" x14ac:dyDescent="0.25">
      <c r="C24" s="157"/>
      <c r="D24" s="157"/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</row>
    <row r="25" spans="3:17" x14ac:dyDescent="0.25">
      <c r="C25" s="157"/>
      <c r="D25" s="157"/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</row>
    <row r="26" spans="3:17" x14ac:dyDescent="0.25"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</row>
    <row r="27" spans="3:17" x14ac:dyDescent="0.25">
      <c r="C27" s="157"/>
      <c r="D27" s="157"/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</row>
    <row r="28" spans="3:17" x14ac:dyDescent="0.25">
      <c r="C28" s="157"/>
      <c r="D28" s="157"/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</row>
    <row r="29" spans="3:17" x14ac:dyDescent="0.25">
      <c r="C29" s="157"/>
      <c r="D29" s="157"/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</row>
    <row r="30" spans="3:17" x14ac:dyDescent="0.25">
      <c r="C30" s="157"/>
      <c r="D30" s="157"/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</row>
    <row r="31" spans="3:17" x14ac:dyDescent="0.25">
      <c r="C31" s="157"/>
      <c r="D31" s="157"/>
      <c r="E31" s="157"/>
      <c r="F31" s="157"/>
      <c r="G31" s="157"/>
      <c r="H31" s="157"/>
      <c r="I31" s="157"/>
      <c r="J31" s="157"/>
      <c r="K31" s="157"/>
      <c r="L31" s="157"/>
      <c r="M31" s="157"/>
      <c r="N31" s="157"/>
      <c r="O31" s="157"/>
      <c r="P31" s="157"/>
      <c r="Q31" s="157"/>
    </row>
    <row r="32" spans="3:17" x14ac:dyDescent="0.25">
      <c r="C32" s="157"/>
      <c r="D32" s="157"/>
      <c r="E32" s="157"/>
      <c r="F32" s="157"/>
      <c r="G32" s="157"/>
      <c r="H32" s="157"/>
      <c r="I32" s="157"/>
      <c r="J32" s="157"/>
      <c r="K32" s="157"/>
      <c r="L32" s="157"/>
      <c r="M32" s="157"/>
      <c r="N32" s="157"/>
      <c r="O32" s="157"/>
      <c r="P32" s="157"/>
      <c r="Q32" s="157"/>
    </row>
    <row r="33" spans="3:17" x14ac:dyDescent="0.25"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</row>
    <row r="34" spans="3:17" x14ac:dyDescent="0.25">
      <c r="C34" s="157"/>
      <c r="D34" s="157"/>
      <c r="E34" s="157"/>
      <c r="F34" s="157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</row>
    <row r="35" spans="3:17" x14ac:dyDescent="0.25"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</row>
    <row r="36" spans="3:17" x14ac:dyDescent="0.25"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</row>
    <row r="37" spans="3:17" x14ac:dyDescent="0.25"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</row>
    <row r="38" spans="3:17" x14ac:dyDescent="0.25"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</row>
    <row r="39" spans="3:17" x14ac:dyDescent="0.25"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</row>
    <row r="40" spans="3:17" x14ac:dyDescent="0.25"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</row>
    <row r="41" spans="3:17" x14ac:dyDescent="0.25"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</row>
    <row r="42" spans="3:17" x14ac:dyDescent="0.25"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</row>
    <row r="43" spans="3:17" x14ac:dyDescent="0.25"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</row>
    <row r="44" spans="3:17" x14ac:dyDescent="0.25"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</row>
    <row r="45" spans="3:17" x14ac:dyDescent="0.25"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</row>
    <row r="46" spans="3:17" x14ac:dyDescent="0.25"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</row>
    <row r="47" spans="3:17" x14ac:dyDescent="0.25"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</row>
    <row r="48" spans="3:17" x14ac:dyDescent="0.25"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</row>
    <row r="49" spans="3:17" x14ac:dyDescent="0.25"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</row>
    <row r="50" spans="3:17" x14ac:dyDescent="0.25"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</row>
    <row r="51" spans="3:17" x14ac:dyDescent="0.25"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</row>
  </sheetData>
  <mergeCells count="1">
    <mergeCell ref="C7:Q51"/>
  </mergeCells>
  <phoneticPr fontId="1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O37"/>
  <sheetViews>
    <sheetView workbookViewId="0"/>
  </sheetViews>
  <sheetFormatPr defaultColWidth="8.7265625" defaultRowHeight="14" x14ac:dyDescent="0.25"/>
  <cols>
    <col min="1" max="2" width="8.7265625" style="4"/>
    <col min="3" max="3" width="5.54296875" style="4" customWidth="1"/>
    <col min="4" max="4" width="7.54296875" style="4" customWidth="1"/>
    <col min="5" max="6" width="14" style="4" customWidth="1"/>
    <col min="7" max="7" width="20.6328125" style="4" customWidth="1"/>
    <col min="8" max="8" width="17.36328125" style="4" customWidth="1"/>
    <col min="9" max="11" width="12.90625" style="4" customWidth="1"/>
    <col min="12" max="13" width="17.36328125" style="4" customWidth="1"/>
    <col min="14" max="14" width="16.6328125" style="4" customWidth="1"/>
    <col min="15" max="15" width="17.36328125" style="4" customWidth="1"/>
    <col min="16" max="17" width="12.90625" style="4" customWidth="1"/>
    <col min="18" max="18" width="17.36328125" style="4" customWidth="1"/>
    <col min="19" max="16384" width="8.7265625" style="4"/>
  </cols>
  <sheetData>
    <row r="4" spans="3:15" x14ac:dyDescent="0.25">
      <c r="F4" s="4" t="s">
        <v>0</v>
      </c>
      <c r="G4" s="134"/>
      <c r="H4" s="4" t="s">
        <v>1</v>
      </c>
    </row>
    <row r="5" spans="3:15" x14ac:dyDescent="0.25">
      <c r="F5" s="4" t="s">
        <v>2</v>
      </c>
      <c r="G5" s="135"/>
      <c r="H5" s="4" t="s">
        <v>3</v>
      </c>
    </row>
    <row r="6" spans="3:15" x14ac:dyDescent="0.25">
      <c r="F6" s="10" t="s">
        <v>4</v>
      </c>
      <c r="G6" s="136"/>
      <c r="H6" s="4" t="s">
        <v>5</v>
      </c>
    </row>
    <row r="7" spans="3:15" x14ac:dyDescent="0.25">
      <c r="F7" s="4" t="s">
        <v>6</v>
      </c>
      <c r="G7" s="137"/>
      <c r="H7" s="4" t="s">
        <v>7</v>
      </c>
    </row>
    <row r="8" spans="3:15" x14ac:dyDescent="0.25">
      <c r="F8" s="4" t="s">
        <v>8</v>
      </c>
      <c r="G8" s="138"/>
      <c r="H8" s="4" t="s">
        <v>9</v>
      </c>
    </row>
    <row r="9" spans="3:15" x14ac:dyDescent="0.25">
      <c r="F9" s="10" t="s">
        <v>10</v>
      </c>
      <c r="G9" s="139"/>
      <c r="H9" s="4" t="s">
        <v>11</v>
      </c>
    </row>
    <row r="10" spans="3:15" x14ac:dyDescent="0.25">
      <c r="F10" s="10" t="s">
        <v>12</v>
      </c>
      <c r="G10" s="140"/>
      <c r="H10" s="4" t="s">
        <v>13</v>
      </c>
    </row>
    <row r="11" spans="3:15" x14ac:dyDescent="0.25">
      <c r="F11" s="4" t="s">
        <v>14</v>
      </c>
      <c r="G11" s="141"/>
      <c r="H11" s="4" t="s">
        <v>15</v>
      </c>
    </row>
    <row r="12" spans="3:15" x14ac:dyDescent="0.25">
      <c r="F12" s="151" t="s">
        <v>16</v>
      </c>
      <c r="G12" s="142"/>
      <c r="H12" s="4" t="s">
        <v>17</v>
      </c>
    </row>
    <row r="13" spans="3:15" x14ac:dyDescent="0.25">
      <c r="F13" s="10"/>
    </row>
    <row r="16" spans="3:15" x14ac:dyDescent="0.25">
      <c r="C16" s="166" t="s">
        <v>18</v>
      </c>
      <c r="D16" s="167"/>
      <c r="E16" s="167"/>
      <c r="F16" s="167"/>
      <c r="G16" s="167"/>
      <c r="H16" s="167"/>
      <c r="I16" s="167"/>
      <c r="J16" s="167"/>
      <c r="K16" s="167"/>
      <c r="L16" s="167"/>
      <c r="M16" s="167"/>
      <c r="N16" s="167"/>
      <c r="O16" s="168"/>
    </row>
    <row r="17" spans="3:15" x14ac:dyDescent="0.25">
      <c r="C17" s="169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1"/>
    </row>
    <row r="18" spans="3:15" x14ac:dyDescent="0.25">
      <c r="C18" s="169"/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1"/>
    </row>
    <row r="19" spans="3:15" x14ac:dyDescent="0.25">
      <c r="C19" s="169"/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1"/>
    </row>
    <row r="20" spans="3:15" x14ac:dyDescent="0.25">
      <c r="C20" s="169"/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1"/>
    </row>
    <row r="21" spans="3:15" x14ac:dyDescent="0.25">
      <c r="C21" s="169"/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1"/>
    </row>
    <row r="22" spans="3:15" x14ac:dyDescent="0.25">
      <c r="C22" s="172"/>
      <c r="D22" s="173"/>
      <c r="E22" s="173"/>
      <c r="F22" s="173"/>
      <c r="G22" s="173"/>
      <c r="H22" s="173"/>
      <c r="I22" s="173"/>
      <c r="J22" s="173"/>
      <c r="K22" s="173"/>
      <c r="L22" s="173"/>
      <c r="M22" s="173"/>
      <c r="N22" s="173"/>
      <c r="O22" s="174"/>
    </row>
    <row r="24" spans="3:15" x14ac:dyDescent="0.25">
      <c r="C24" s="161" t="s">
        <v>19</v>
      </c>
      <c r="D24" s="161" t="s">
        <v>20</v>
      </c>
      <c r="E24" s="161" t="s">
        <v>21</v>
      </c>
      <c r="F24" s="161" t="s">
        <v>22</v>
      </c>
      <c r="G24" s="161" t="s">
        <v>23</v>
      </c>
      <c r="H24" s="158" t="s">
        <v>24</v>
      </c>
      <c r="I24" s="159"/>
      <c r="J24" s="159"/>
      <c r="K24" s="159"/>
      <c r="L24" s="159"/>
      <c r="M24" s="159"/>
      <c r="N24" s="159"/>
      <c r="O24" s="160"/>
    </row>
    <row r="25" spans="3:15" x14ac:dyDescent="0.25">
      <c r="C25" s="161"/>
      <c r="D25" s="161"/>
      <c r="E25" s="161"/>
      <c r="F25" s="161"/>
      <c r="G25" s="161"/>
      <c r="H25" s="158" t="s">
        <v>25</v>
      </c>
      <c r="I25" s="160"/>
      <c r="J25" s="143" t="s">
        <v>26</v>
      </c>
      <c r="K25" s="144"/>
      <c r="L25" s="144"/>
      <c r="M25" s="144"/>
      <c r="N25" s="144"/>
      <c r="O25" s="145"/>
    </row>
    <row r="26" spans="3:15" x14ac:dyDescent="0.25">
      <c r="C26" s="162" t="s">
        <v>27</v>
      </c>
      <c r="D26" s="146" t="s">
        <v>28</v>
      </c>
      <c r="E26" s="146" t="s">
        <v>29</v>
      </c>
      <c r="F26" s="162" t="s">
        <v>30</v>
      </c>
      <c r="G26" s="164" t="s">
        <v>31</v>
      </c>
      <c r="H26" s="162" t="s">
        <v>32</v>
      </c>
      <c r="I26" s="162" t="s">
        <v>33</v>
      </c>
      <c r="J26" s="162" t="s">
        <v>34</v>
      </c>
      <c r="K26" s="162" t="s">
        <v>35</v>
      </c>
      <c r="L26" s="162" t="s">
        <v>36</v>
      </c>
      <c r="M26" s="162" t="s">
        <v>37</v>
      </c>
      <c r="N26" s="164" t="s">
        <v>38</v>
      </c>
      <c r="O26" s="162"/>
    </row>
    <row r="27" spans="3:15" x14ac:dyDescent="0.25">
      <c r="C27" s="162"/>
      <c r="D27" s="146" t="s">
        <v>29</v>
      </c>
      <c r="E27" s="146" t="s">
        <v>39</v>
      </c>
      <c r="F27" s="162"/>
      <c r="G27" s="164"/>
      <c r="H27" s="162"/>
      <c r="I27" s="162"/>
      <c r="J27" s="162"/>
      <c r="K27" s="162"/>
      <c r="L27" s="162"/>
      <c r="M27" s="162"/>
      <c r="N27" s="164"/>
      <c r="O27" s="162"/>
    </row>
    <row r="28" spans="3:15" x14ac:dyDescent="0.25">
      <c r="C28" s="163" t="s">
        <v>40</v>
      </c>
      <c r="D28" s="147" t="s">
        <v>39</v>
      </c>
      <c r="E28" s="147" t="s">
        <v>41</v>
      </c>
      <c r="F28" s="163" t="s">
        <v>42</v>
      </c>
      <c r="G28" s="165" t="s">
        <v>43</v>
      </c>
      <c r="H28" s="163" t="s">
        <v>44</v>
      </c>
      <c r="I28" s="163" t="s">
        <v>45</v>
      </c>
      <c r="J28" s="163" t="s">
        <v>46</v>
      </c>
      <c r="K28" s="163" t="s">
        <v>47</v>
      </c>
      <c r="L28" s="163" t="s">
        <v>48</v>
      </c>
      <c r="M28" s="163" t="s">
        <v>49</v>
      </c>
      <c r="N28" s="165" t="s">
        <v>50</v>
      </c>
      <c r="O28" s="163" t="s">
        <v>51</v>
      </c>
    </row>
    <row r="29" spans="3:15" x14ac:dyDescent="0.25">
      <c r="C29" s="163"/>
      <c r="D29" s="147" t="s">
        <v>41</v>
      </c>
      <c r="E29" s="147" t="s">
        <v>52</v>
      </c>
      <c r="F29" s="163"/>
      <c r="G29" s="165"/>
      <c r="H29" s="163"/>
      <c r="I29" s="163"/>
      <c r="J29" s="163"/>
      <c r="K29" s="163"/>
      <c r="L29" s="163"/>
      <c r="M29" s="163"/>
      <c r="N29" s="165"/>
      <c r="O29" s="163"/>
    </row>
    <row r="30" spans="3:15" ht="28" x14ac:dyDescent="0.25">
      <c r="C30" s="148" t="s">
        <v>53</v>
      </c>
      <c r="D30" s="148" t="s">
        <v>52</v>
      </c>
      <c r="E30" s="148"/>
      <c r="F30" s="148" t="s">
        <v>54</v>
      </c>
      <c r="G30" s="149" t="s">
        <v>55</v>
      </c>
      <c r="H30" s="148" t="s">
        <v>56</v>
      </c>
      <c r="I30" s="148" t="s">
        <v>57</v>
      </c>
      <c r="J30" s="148" t="s">
        <v>58</v>
      </c>
      <c r="K30" s="148" t="s">
        <v>59</v>
      </c>
      <c r="L30" s="148" t="s">
        <v>60</v>
      </c>
      <c r="M30" s="148" t="s">
        <v>61</v>
      </c>
      <c r="N30" s="149" t="s">
        <v>62</v>
      </c>
      <c r="O30" s="148" t="s">
        <v>63</v>
      </c>
    </row>
    <row r="33" spans="7:12" x14ac:dyDescent="0.25">
      <c r="G33" s="5" t="s">
        <v>64</v>
      </c>
      <c r="H33" s="5" t="s">
        <v>65</v>
      </c>
      <c r="I33" s="150" t="s">
        <v>66</v>
      </c>
      <c r="J33" s="150" t="s">
        <v>67</v>
      </c>
      <c r="K33" s="150" t="s">
        <v>68</v>
      </c>
      <c r="L33" s="150" t="s">
        <v>69</v>
      </c>
    </row>
    <row r="34" spans="7:12" x14ac:dyDescent="0.25">
      <c r="G34" s="5"/>
      <c r="H34" s="5"/>
      <c r="I34" s="5"/>
      <c r="J34" s="5"/>
      <c r="K34" s="5"/>
      <c r="L34" s="5"/>
    </row>
    <row r="35" spans="7:12" x14ac:dyDescent="0.25">
      <c r="G35" s="5" t="s">
        <v>70</v>
      </c>
      <c r="H35" s="150" t="s">
        <v>71</v>
      </c>
      <c r="I35" s="150" t="s">
        <v>72</v>
      </c>
      <c r="J35" s="150" t="s">
        <v>73</v>
      </c>
      <c r="K35" s="150" t="s">
        <v>74</v>
      </c>
      <c r="L35" s="150" t="s">
        <v>75</v>
      </c>
    </row>
    <row r="36" spans="7:12" x14ac:dyDescent="0.25">
      <c r="G36" s="5"/>
      <c r="H36" s="5"/>
      <c r="I36" s="5"/>
      <c r="J36" s="5"/>
      <c r="K36" s="5"/>
      <c r="L36" s="5"/>
    </row>
    <row r="37" spans="7:12" x14ac:dyDescent="0.25">
      <c r="G37" s="5" t="s">
        <v>76</v>
      </c>
      <c r="H37" s="150" t="s">
        <v>77</v>
      </c>
      <c r="I37" s="150" t="s">
        <v>78</v>
      </c>
      <c r="J37" s="150" t="s">
        <v>79</v>
      </c>
      <c r="K37" s="150" t="s">
        <v>80</v>
      </c>
      <c r="L37" s="150" t="s">
        <v>81</v>
      </c>
    </row>
  </sheetData>
  <mergeCells count="30">
    <mergeCell ref="O26:O27"/>
    <mergeCell ref="O28:O29"/>
    <mergeCell ref="C16:O22"/>
    <mergeCell ref="L26:L27"/>
    <mergeCell ref="L28:L29"/>
    <mergeCell ref="M26:M27"/>
    <mergeCell ref="M28:M29"/>
    <mergeCell ref="N26:N27"/>
    <mergeCell ref="N28:N29"/>
    <mergeCell ref="I28:I29"/>
    <mergeCell ref="J26:J27"/>
    <mergeCell ref="J28:J29"/>
    <mergeCell ref="K26:K27"/>
    <mergeCell ref="K28:K29"/>
    <mergeCell ref="H24:O24"/>
    <mergeCell ref="H25:I25"/>
    <mergeCell ref="C24:C25"/>
    <mergeCell ref="C26:C27"/>
    <mergeCell ref="C28:C29"/>
    <mergeCell ref="D24:D25"/>
    <mergeCell ref="E24:E25"/>
    <mergeCell ref="F24:F25"/>
    <mergeCell ref="F26:F27"/>
    <mergeCell ref="F28:F29"/>
    <mergeCell ref="G24:G25"/>
    <mergeCell ref="G26:G27"/>
    <mergeCell ref="G28:G29"/>
    <mergeCell ref="H26:H27"/>
    <mergeCell ref="H28:H29"/>
    <mergeCell ref="I26:I27"/>
  </mergeCells>
  <phoneticPr fontId="1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4:R39"/>
  <sheetViews>
    <sheetView workbookViewId="0">
      <selection activeCell="C4" sqref="C4:O10"/>
    </sheetView>
  </sheetViews>
  <sheetFormatPr defaultColWidth="8.7265625" defaultRowHeight="14" x14ac:dyDescent="0.25"/>
  <cols>
    <col min="3" max="3" width="11.81640625" customWidth="1"/>
    <col min="4" max="4" width="5.54296875" customWidth="1"/>
    <col min="5" max="5" width="9.54296875" customWidth="1"/>
    <col min="6" max="6" width="5.54296875" customWidth="1"/>
    <col min="7" max="8" width="9.54296875" customWidth="1"/>
    <col min="9" max="9" width="11.81640625" customWidth="1"/>
    <col min="11" max="11" width="27.54296875" customWidth="1"/>
    <col min="12" max="12" width="70.26953125" customWidth="1"/>
    <col min="13" max="13" width="8.54296875" customWidth="1"/>
    <col min="14" max="14" width="8.90625" customWidth="1"/>
  </cols>
  <sheetData>
    <row r="4" spans="3:15" x14ac:dyDescent="0.25">
      <c r="C4" s="166" t="s">
        <v>82</v>
      </c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8"/>
    </row>
    <row r="5" spans="3:15" x14ac:dyDescent="0.25">
      <c r="C5" s="169"/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1"/>
    </row>
    <row r="6" spans="3:15" x14ac:dyDescent="0.25">
      <c r="C6" s="169"/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1"/>
    </row>
    <row r="7" spans="3:15" x14ac:dyDescent="0.25">
      <c r="C7" s="169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1"/>
    </row>
    <row r="8" spans="3:15" x14ac:dyDescent="0.25">
      <c r="C8" s="169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1"/>
    </row>
    <row r="9" spans="3:15" x14ac:dyDescent="0.25">
      <c r="C9" s="169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1"/>
    </row>
    <row r="10" spans="3:15" x14ac:dyDescent="0.25">
      <c r="C10" s="172"/>
      <c r="D10" s="173"/>
      <c r="E10" s="173"/>
      <c r="F10" s="173"/>
      <c r="G10" s="173"/>
      <c r="H10" s="173"/>
      <c r="I10" s="173"/>
      <c r="J10" s="173"/>
      <c r="K10" s="173"/>
      <c r="L10" s="173"/>
      <c r="M10" s="173"/>
      <c r="N10" s="173"/>
      <c r="O10" s="174"/>
    </row>
    <row r="15" spans="3:15" x14ac:dyDescent="0.25">
      <c r="D15" s="130" t="s">
        <v>83</v>
      </c>
      <c r="E15" s="130" t="s">
        <v>84</v>
      </c>
      <c r="F15" s="130" t="s">
        <v>85</v>
      </c>
      <c r="G15" s="130" t="s">
        <v>86</v>
      </c>
      <c r="H15" s="131" t="s">
        <v>87</v>
      </c>
      <c r="K15" s="132" t="s">
        <v>88</v>
      </c>
      <c r="L15" s="132" t="s">
        <v>89</v>
      </c>
    </row>
    <row r="16" spans="3:15" x14ac:dyDescent="0.25">
      <c r="D16" s="175" t="s">
        <v>90</v>
      </c>
      <c r="E16" s="175" t="s">
        <v>91</v>
      </c>
      <c r="F16" s="53" t="s">
        <v>92</v>
      </c>
      <c r="G16" s="77" t="s">
        <v>93</v>
      </c>
      <c r="H16" s="77">
        <v>5</v>
      </c>
      <c r="K16" t="s">
        <v>94</v>
      </c>
      <c r="L16" t="s">
        <v>95</v>
      </c>
    </row>
    <row r="17" spans="3:18" x14ac:dyDescent="0.25">
      <c r="C17" t="s">
        <v>96</v>
      </c>
      <c r="D17" s="175"/>
      <c r="E17" s="175"/>
      <c r="F17" s="53" t="s">
        <v>97</v>
      </c>
      <c r="G17" s="77" t="s">
        <v>98</v>
      </c>
      <c r="H17" s="77">
        <v>5</v>
      </c>
      <c r="K17" t="s">
        <v>99</v>
      </c>
      <c r="L17" t="s">
        <v>100</v>
      </c>
    </row>
    <row r="18" spans="3:18" x14ac:dyDescent="0.25">
      <c r="D18" s="175"/>
      <c r="E18" s="175"/>
      <c r="F18" s="53" t="s">
        <v>101</v>
      </c>
      <c r="G18" s="77" t="s">
        <v>102</v>
      </c>
      <c r="H18" s="77">
        <v>5</v>
      </c>
      <c r="K18" t="s">
        <v>103</v>
      </c>
      <c r="L18" t="s">
        <v>104</v>
      </c>
    </row>
    <row r="19" spans="3:18" x14ac:dyDescent="0.25">
      <c r="D19" s="175" t="s">
        <v>105</v>
      </c>
      <c r="E19" s="175" t="s">
        <v>106</v>
      </c>
      <c r="F19" s="53" t="s">
        <v>107</v>
      </c>
      <c r="G19" s="133" t="s">
        <v>108</v>
      </c>
      <c r="H19" s="77">
        <v>5</v>
      </c>
      <c r="K19" t="s">
        <v>109</v>
      </c>
      <c r="L19" t="s">
        <v>110</v>
      </c>
      <c r="P19" s="128"/>
    </row>
    <row r="20" spans="3:18" x14ac:dyDescent="0.25">
      <c r="C20" t="s">
        <v>111</v>
      </c>
      <c r="D20" s="175"/>
      <c r="E20" s="175"/>
      <c r="F20" s="53" t="s">
        <v>112</v>
      </c>
      <c r="G20" s="77" t="s">
        <v>113</v>
      </c>
      <c r="H20" s="77">
        <v>5</v>
      </c>
      <c r="K20" t="s">
        <v>114</v>
      </c>
      <c r="L20" t="s">
        <v>115</v>
      </c>
      <c r="P20" s="127"/>
    </row>
    <row r="21" spans="3:18" x14ac:dyDescent="0.25">
      <c r="D21" s="175"/>
      <c r="E21" s="175"/>
      <c r="F21" s="53" t="s">
        <v>116</v>
      </c>
      <c r="G21" s="133" t="s">
        <v>117</v>
      </c>
      <c r="H21" s="77">
        <v>5</v>
      </c>
      <c r="K21" t="s">
        <v>118</v>
      </c>
      <c r="L21" t="s">
        <v>119</v>
      </c>
    </row>
    <row r="22" spans="3:18" x14ac:dyDescent="0.25">
      <c r="D22" s="175" t="s">
        <v>120</v>
      </c>
      <c r="E22" s="175" t="s">
        <v>121</v>
      </c>
      <c r="F22" s="53" t="s">
        <v>107</v>
      </c>
      <c r="G22" s="53" t="s">
        <v>122</v>
      </c>
      <c r="H22" s="77">
        <v>5</v>
      </c>
      <c r="K22" t="s">
        <v>123</v>
      </c>
      <c r="L22" t="s">
        <v>124</v>
      </c>
    </row>
    <row r="23" spans="3:18" x14ac:dyDescent="0.25">
      <c r="C23" t="s">
        <v>125</v>
      </c>
      <c r="D23" s="175"/>
      <c r="E23" s="175"/>
      <c r="F23" s="53" t="s">
        <v>112</v>
      </c>
      <c r="G23" s="53" t="s">
        <v>126</v>
      </c>
      <c r="H23" s="77">
        <v>5</v>
      </c>
      <c r="K23" t="s">
        <v>127</v>
      </c>
      <c r="L23" t="s">
        <v>128</v>
      </c>
    </row>
    <row r="24" spans="3:18" x14ac:dyDescent="0.25">
      <c r="D24" s="175"/>
      <c r="E24" s="175"/>
      <c r="F24" s="53" t="s">
        <v>116</v>
      </c>
      <c r="G24" s="53" t="s">
        <v>129</v>
      </c>
      <c r="H24" s="77">
        <v>5</v>
      </c>
      <c r="K24" t="s">
        <v>130</v>
      </c>
      <c r="L24" t="s">
        <v>131</v>
      </c>
    </row>
    <row r="25" spans="3:18" x14ac:dyDescent="0.25">
      <c r="D25" s="175" t="s">
        <v>132</v>
      </c>
      <c r="E25" s="175" t="s">
        <v>133</v>
      </c>
      <c r="F25" s="53" t="s">
        <v>134</v>
      </c>
      <c r="G25" s="133" t="s">
        <v>135</v>
      </c>
      <c r="H25" s="77">
        <v>5</v>
      </c>
      <c r="K25" t="s">
        <v>136</v>
      </c>
      <c r="L25" t="s">
        <v>137</v>
      </c>
      <c r="R25" s="127"/>
    </row>
    <row r="26" spans="3:18" x14ac:dyDescent="0.25">
      <c r="C26" t="s">
        <v>138</v>
      </c>
      <c r="D26" s="175"/>
      <c r="E26" s="175"/>
      <c r="F26" s="53" t="s">
        <v>139</v>
      </c>
      <c r="G26" s="133" t="s">
        <v>140</v>
      </c>
      <c r="H26" s="77">
        <v>5</v>
      </c>
      <c r="K26" t="s">
        <v>141</v>
      </c>
      <c r="L26" t="s">
        <v>142</v>
      </c>
    </row>
    <row r="27" spans="3:18" x14ac:dyDescent="0.25">
      <c r="D27" s="175"/>
      <c r="E27" s="175"/>
      <c r="F27" s="53" t="s">
        <v>143</v>
      </c>
      <c r="G27" s="77" t="s">
        <v>144</v>
      </c>
      <c r="H27" s="77">
        <v>5</v>
      </c>
      <c r="K27" t="s">
        <v>145</v>
      </c>
      <c r="L27" t="s">
        <v>146</v>
      </c>
    </row>
    <row r="28" spans="3:18" x14ac:dyDescent="0.25">
      <c r="D28" s="176" t="s">
        <v>147</v>
      </c>
      <c r="E28" s="175" t="s">
        <v>148</v>
      </c>
      <c r="F28" s="53" t="s">
        <v>149</v>
      </c>
      <c r="G28" s="133" t="s">
        <v>150</v>
      </c>
      <c r="H28" s="77">
        <v>5</v>
      </c>
      <c r="K28" t="s">
        <v>151</v>
      </c>
      <c r="L28" t="s">
        <v>152</v>
      </c>
    </row>
    <row r="29" spans="3:18" x14ac:dyDescent="0.25">
      <c r="C29" t="s">
        <v>153</v>
      </c>
      <c r="D29" s="177"/>
      <c r="E29" s="175"/>
      <c r="F29" s="53" t="s">
        <v>154</v>
      </c>
      <c r="G29" s="133" t="s">
        <v>155</v>
      </c>
      <c r="H29" s="77">
        <v>5</v>
      </c>
      <c r="K29" t="s">
        <v>156</v>
      </c>
      <c r="L29" t="s">
        <v>157</v>
      </c>
    </row>
    <row r="30" spans="3:18" x14ac:dyDescent="0.25">
      <c r="D30" s="178"/>
      <c r="E30" s="175"/>
      <c r="F30" s="53" t="s">
        <v>158</v>
      </c>
      <c r="G30" s="77" t="s">
        <v>159</v>
      </c>
      <c r="H30" s="77">
        <v>5</v>
      </c>
      <c r="K30" t="s">
        <v>160</v>
      </c>
      <c r="L30" t="s">
        <v>161</v>
      </c>
      <c r="R30" s="127"/>
    </row>
    <row r="31" spans="3:18" x14ac:dyDescent="0.25">
      <c r="D31" s="175" t="s">
        <v>162</v>
      </c>
      <c r="E31" s="175" t="s">
        <v>163</v>
      </c>
      <c r="F31" s="53" t="s">
        <v>164</v>
      </c>
      <c r="G31" s="133" t="s">
        <v>165</v>
      </c>
      <c r="H31" s="77">
        <v>5</v>
      </c>
      <c r="K31" t="s">
        <v>166</v>
      </c>
      <c r="L31" t="s">
        <v>167</v>
      </c>
      <c r="R31" s="127"/>
    </row>
    <row r="32" spans="3:18" x14ac:dyDescent="0.25">
      <c r="C32" t="s">
        <v>168</v>
      </c>
      <c r="D32" s="175"/>
      <c r="E32" s="175"/>
      <c r="F32" s="53" t="s">
        <v>169</v>
      </c>
      <c r="G32" s="133" t="s">
        <v>170</v>
      </c>
      <c r="H32" s="77">
        <v>5</v>
      </c>
      <c r="K32" t="s">
        <v>171</v>
      </c>
      <c r="L32" t="s">
        <v>172</v>
      </c>
    </row>
    <row r="33" spans="4:12" x14ac:dyDescent="0.25">
      <c r="D33" s="175"/>
      <c r="E33" s="175"/>
      <c r="F33" s="53" t="s">
        <v>173</v>
      </c>
      <c r="G33" s="133" t="s">
        <v>174</v>
      </c>
      <c r="H33" s="77">
        <v>5</v>
      </c>
      <c r="K33" t="s">
        <v>175</v>
      </c>
      <c r="L33" t="s">
        <v>176</v>
      </c>
    </row>
    <row r="34" spans="4:12" x14ac:dyDescent="0.25">
      <c r="K34" t="s">
        <v>177</v>
      </c>
      <c r="L34" t="s">
        <v>178</v>
      </c>
    </row>
    <row r="35" spans="4:12" x14ac:dyDescent="0.25">
      <c r="K35" t="s">
        <v>179</v>
      </c>
      <c r="L35" t="s">
        <v>180</v>
      </c>
    </row>
    <row r="36" spans="4:12" x14ac:dyDescent="0.25">
      <c r="K36" t="s">
        <v>181</v>
      </c>
      <c r="L36" t="s">
        <v>182</v>
      </c>
    </row>
    <row r="37" spans="4:12" x14ac:dyDescent="0.25">
      <c r="K37" t="s">
        <v>183</v>
      </c>
      <c r="L37" t="s">
        <v>184</v>
      </c>
    </row>
    <row r="38" spans="4:12" x14ac:dyDescent="0.25">
      <c r="K38" t="s">
        <v>185</v>
      </c>
      <c r="L38" t="s">
        <v>186</v>
      </c>
    </row>
    <row r="39" spans="4:12" x14ac:dyDescent="0.25">
      <c r="K39" t="s">
        <v>187</v>
      </c>
      <c r="L39" t="s">
        <v>188</v>
      </c>
    </row>
  </sheetData>
  <mergeCells count="13">
    <mergeCell ref="C4:O10"/>
    <mergeCell ref="D31:D33"/>
    <mergeCell ref="E16:E18"/>
    <mergeCell ref="E19:E21"/>
    <mergeCell ref="E22:E24"/>
    <mergeCell ref="E25:E27"/>
    <mergeCell ref="E28:E30"/>
    <mergeCell ref="E31:E33"/>
    <mergeCell ref="D16:D18"/>
    <mergeCell ref="D19:D21"/>
    <mergeCell ref="D22:D24"/>
    <mergeCell ref="D25:D27"/>
    <mergeCell ref="D28:D30"/>
  </mergeCells>
  <phoneticPr fontId="1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O54"/>
  <sheetViews>
    <sheetView workbookViewId="0"/>
  </sheetViews>
  <sheetFormatPr defaultColWidth="8.7265625" defaultRowHeight="14" x14ac:dyDescent="0.25"/>
  <cols>
    <col min="3" max="3" width="18.54296875" customWidth="1"/>
  </cols>
  <sheetData>
    <row r="2" spans="3:15" x14ac:dyDescent="0.25">
      <c r="C2" s="180" t="s">
        <v>189</v>
      </c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</row>
    <row r="3" spans="3:15" x14ac:dyDescent="0.25">
      <c r="C3" s="180"/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180"/>
      <c r="O3" s="180"/>
    </row>
    <row r="5" spans="3:15" x14ac:dyDescent="0.25">
      <c r="C5" t="s">
        <v>133</v>
      </c>
      <c r="E5" s="179" t="s">
        <v>190</v>
      </c>
      <c r="F5" s="179"/>
      <c r="G5" s="179"/>
      <c r="H5" s="179"/>
      <c r="I5" s="179"/>
      <c r="J5" s="179"/>
      <c r="K5" s="179"/>
      <c r="L5" s="179"/>
      <c r="M5" s="179"/>
      <c r="N5" s="179"/>
      <c r="O5" s="179"/>
    </row>
    <row r="6" spans="3:15" x14ac:dyDescent="0.25">
      <c r="C6" t="s">
        <v>191</v>
      </c>
      <c r="E6" s="179" t="s">
        <v>190</v>
      </c>
      <c r="F6" s="179"/>
      <c r="G6" s="179"/>
      <c r="H6" s="179"/>
      <c r="I6" s="179"/>
      <c r="J6" s="179"/>
      <c r="K6" s="179"/>
      <c r="L6" s="179"/>
      <c r="M6" s="179"/>
      <c r="N6" s="179"/>
      <c r="O6" s="179"/>
    </row>
    <row r="7" spans="3:15" x14ac:dyDescent="0.25">
      <c r="C7" t="s">
        <v>106</v>
      </c>
      <c r="E7" s="179" t="s">
        <v>190</v>
      </c>
      <c r="F7" s="179"/>
      <c r="G7" s="179"/>
      <c r="H7" s="179"/>
      <c r="I7" s="179"/>
      <c r="J7" s="179"/>
      <c r="K7" s="179"/>
      <c r="L7" s="179"/>
      <c r="M7" s="179"/>
      <c r="N7" s="179"/>
      <c r="O7" s="179"/>
    </row>
    <row r="8" spans="3:15" x14ac:dyDescent="0.25">
      <c r="C8" t="s">
        <v>192</v>
      </c>
      <c r="E8" s="179" t="s">
        <v>193</v>
      </c>
      <c r="F8" s="179"/>
      <c r="G8" s="179"/>
      <c r="H8" s="179"/>
      <c r="I8" s="179"/>
      <c r="J8" s="179"/>
      <c r="K8" s="179"/>
      <c r="L8" s="179"/>
      <c r="M8" s="179"/>
      <c r="N8" s="179"/>
      <c r="O8" s="179"/>
    </row>
    <row r="12" spans="3:15" x14ac:dyDescent="0.25">
      <c r="C12" s="180" t="s">
        <v>194</v>
      </c>
      <c r="D12" s="180"/>
      <c r="E12" s="180"/>
      <c r="F12" s="180"/>
      <c r="G12" s="180"/>
      <c r="H12" s="180"/>
      <c r="I12" s="180"/>
      <c r="J12" s="180"/>
      <c r="K12" s="180"/>
      <c r="L12" s="180"/>
      <c r="M12" s="180"/>
      <c r="N12" s="180"/>
      <c r="O12" s="180"/>
    </row>
    <row r="13" spans="3:15" x14ac:dyDescent="0.25">
      <c r="C13" s="180"/>
      <c r="D13" s="180"/>
      <c r="E13" s="180"/>
      <c r="F13" s="180"/>
      <c r="G13" s="180"/>
      <c r="H13" s="180"/>
      <c r="I13" s="180"/>
      <c r="J13" s="180"/>
      <c r="K13" s="180"/>
      <c r="L13" s="180"/>
      <c r="M13" s="180"/>
      <c r="N13" s="180"/>
      <c r="O13" s="180"/>
    </row>
    <row r="14" spans="3:15" x14ac:dyDescent="0.25">
      <c r="D14" s="127"/>
      <c r="E14" s="127"/>
      <c r="H14" s="127"/>
      <c r="I14" s="127"/>
    </row>
    <row r="15" spans="3:15" x14ac:dyDescent="0.25">
      <c r="C15" t="s">
        <v>195</v>
      </c>
      <c r="E15" s="179"/>
      <c r="F15" s="179"/>
      <c r="G15" s="179"/>
      <c r="H15" s="179"/>
      <c r="I15" s="179"/>
      <c r="J15" s="179"/>
      <c r="K15" s="179"/>
      <c r="L15" s="179"/>
      <c r="M15" s="179"/>
      <c r="N15" s="179"/>
      <c r="O15" s="179"/>
    </row>
    <row r="16" spans="3:15" x14ac:dyDescent="0.25">
      <c r="C16" t="s">
        <v>196</v>
      </c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</row>
    <row r="17" spans="3:15" x14ac:dyDescent="0.25">
      <c r="C17" t="s">
        <v>197</v>
      </c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</row>
    <row r="18" spans="3:15" x14ac:dyDescent="0.25">
      <c r="C18" t="s">
        <v>198</v>
      </c>
      <c r="E18" s="179"/>
      <c r="F18" s="179"/>
      <c r="G18" s="179"/>
      <c r="H18" s="179"/>
      <c r="I18" s="179"/>
      <c r="J18" s="179"/>
      <c r="K18" s="179"/>
      <c r="L18" s="179"/>
      <c r="M18" s="179"/>
      <c r="N18" s="179"/>
      <c r="O18" s="179"/>
    </row>
    <row r="19" spans="3:15" x14ac:dyDescent="0.25">
      <c r="C19" t="s">
        <v>199</v>
      </c>
      <c r="E19" s="179"/>
      <c r="F19" s="179"/>
      <c r="G19" s="179"/>
      <c r="H19" s="179"/>
      <c r="I19" s="179"/>
      <c r="J19" s="179"/>
      <c r="K19" s="179"/>
      <c r="L19" s="179"/>
      <c r="M19" s="179"/>
      <c r="N19" s="179"/>
      <c r="O19" s="179"/>
    </row>
    <row r="20" spans="3:15" x14ac:dyDescent="0.25">
      <c r="C20" t="s">
        <v>200</v>
      </c>
      <c r="E20" s="179"/>
      <c r="F20" s="179"/>
      <c r="G20" s="179"/>
      <c r="H20" s="179"/>
      <c r="I20" s="179"/>
      <c r="J20" s="179"/>
      <c r="K20" s="179"/>
      <c r="L20" s="179"/>
      <c r="M20" s="179"/>
      <c r="N20" s="179"/>
      <c r="O20" s="179"/>
    </row>
    <row r="24" spans="3:15" x14ac:dyDescent="0.25">
      <c r="C24" s="180" t="s">
        <v>201</v>
      </c>
      <c r="D24" s="180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</row>
    <row r="25" spans="3:15" x14ac:dyDescent="0.25">
      <c r="C25" s="180"/>
      <c r="D25" s="180"/>
      <c r="E25" s="180"/>
      <c r="F25" s="180"/>
      <c r="G25" s="180"/>
      <c r="H25" s="180"/>
      <c r="I25" s="180"/>
      <c r="J25" s="180"/>
      <c r="K25" s="180"/>
      <c r="L25" s="180"/>
      <c r="M25" s="180"/>
      <c r="N25" s="180"/>
      <c r="O25" s="180"/>
    </row>
    <row r="26" spans="3:15" x14ac:dyDescent="0.25">
      <c r="D26" s="127" t="s">
        <v>202</v>
      </c>
      <c r="E26" s="127" t="s">
        <v>203</v>
      </c>
      <c r="H26" s="127" t="s">
        <v>202</v>
      </c>
      <c r="I26" s="127" t="s">
        <v>203</v>
      </c>
    </row>
    <row r="27" spans="3:15" x14ac:dyDescent="0.25">
      <c r="C27" s="128" t="s">
        <v>122</v>
      </c>
      <c r="D27" s="127" t="s">
        <v>204</v>
      </c>
      <c r="E27" s="127" t="s">
        <v>64</v>
      </c>
      <c r="F27" s="129"/>
      <c r="G27" t="s">
        <v>205</v>
      </c>
      <c r="H27" s="127" t="s">
        <v>73</v>
      </c>
      <c r="I27" s="127" t="s">
        <v>64</v>
      </c>
      <c r="K27" s="2"/>
    </row>
    <row r="28" spans="3:15" x14ac:dyDescent="0.25">
      <c r="C28" s="127" t="s">
        <v>108</v>
      </c>
      <c r="D28" s="127" t="s">
        <v>204</v>
      </c>
      <c r="E28" s="127" t="s">
        <v>64</v>
      </c>
      <c r="F28" s="129"/>
      <c r="G28" t="s">
        <v>205</v>
      </c>
      <c r="H28" s="127" t="s">
        <v>73</v>
      </c>
      <c r="I28" s="127" t="s">
        <v>64</v>
      </c>
      <c r="K28" s="2"/>
    </row>
    <row r="29" spans="3:15" x14ac:dyDescent="0.25">
      <c r="C29" s="127" t="s">
        <v>117</v>
      </c>
      <c r="D29" s="127" t="s">
        <v>204</v>
      </c>
      <c r="E29" s="127" t="s">
        <v>64</v>
      </c>
      <c r="F29" s="129"/>
      <c r="G29" t="s">
        <v>205</v>
      </c>
      <c r="H29" s="127" t="s">
        <v>206</v>
      </c>
      <c r="I29" s="127" t="s">
        <v>64</v>
      </c>
      <c r="K29" s="2"/>
    </row>
    <row r="30" spans="3:15" x14ac:dyDescent="0.25">
      <c r="C30" s="127" t="s">
        <v>126</v>
      </c>
      <c r="D30" s="127" t="s">
        <v>204</v>
      </c>
      <c r="E30" s="127" t="s">
        <v>64</v>
      </c>
      <c r="F30" s="2"/>
      <c r="G30" t="s">
        <v>205</v>
      </c>
      <c r="H30" s="127" t="s">
        <v>73</v>
      </c>
      <c r="I30" s="127" t="s">
        <v>64</v>
      </c>
      <c r="K30" s="2"/>
    </row>
    <row r="31" spans="3:15" x14ac:dyDescent="0.25">
      <c r="C31" s="127" t="s">
        <v>165</v>
      </c>
      <c r="D31" s="127" t="s">
        <v>204</v>
      </c>
      <c r="E31" s="127" t="s">
        <v>64</v>
      </c>
      <c r="F31" s="2"/>
      <c r="G31" t="s">
        <v>205</v>
      </c>
      <c r="H31" s="127" t="s">
        <v>73</v>
      </c>
      <c r="I31" s="127" t="s">
        <v>64</v>
      </c>
      <c r="K31" s="2"/>
    </row>
    <row r="32" spans="3:15" x14ac:dyDescent="0.25">
      <c r="C32" s="127" t="s">
        <v>170</v>
      </c>
      <c r="D32" s="127" t="s">
        <v>204</v>
      </c>
      <c r="E32" s="127" t="s">
        <v>64</v>
      </c>
      <c r="F32" s="2"/>
      <c r="G32" t="s">
        <v>205</v>
      </c>
      <c r="H32" s="127" t="s">
        <v>73</v>
      </c>
      <c r="I32" s="127" t="s">
        <v>64</v>
      </c>
      <c r="K32" s="2"/>
    </row>
    <row r="33" spans="3:15" x14ac:dyDescent="0.25">
      <c r="C33" s="127" t="s">
        <v>174</v>
      </c>
      <c r="D33" s="127" t="s">
        <v>204</v>
      </c>
      <c r="E33" s="127" t="s">
        <v>64</v>
      </c>
      <c r="F33" s="2"/>
      <c r="G33" t="s">
        <v>205</v>
      </c>
      <c r="H33" s="127" t="s">
        <v>73</v>
      </c>
      <c r="I33" s="127" t="s">
        <v>64</v>
      </c>
      <c r="K33" s="2"/>
    </row>
    <row r="34" spans="3:15" x14ac:dyDescent="0.25">
      <c r="C34" s="127"/>
      <c r="D34" s="127"/>
      <c r="E34" s="127"/>
      <c r="F34" s="2"/>
      <c r="H34" s="127"/>
      <c r="I34" s="127"/>
      <c r="K34" s="2"/>
    </row>
    <row r="35" spans="3:15" x14ac:dyDescent="0.25">
      <c r="C35" s="127" t="s">
        <v>159</v>
      </c>
      <c r="D35" s="127" t="s">
        <v>204</v>
      </c>
      <c r="E35" s="127" t="s">
        <v>64</v>
      </c>
      <c r="F35" s="129"/>
      <c r="G35" t="s">
        <v>205</v>
      </c>
      <c r="H35" s="127" t="s">
        <v>75</v>
      </c>
      <c r="I35" s="127" t="s">
        <v>64</v>
      </c>
      <c r="K35" s="2"/>
    </row>
    <row r="36" spans="3:15" x14ac:dyDescent="0.25">
      <c r="C36" s="127" t="s">
        <v>140</v>
      </c>
      <c r="D36" s="127" t="s">
        <v>204</v>
      </c>
      <c r="E36" s="127" t="s">
        <v>64</v>
      </c>
      <c r="F36" s="2"/>
      <c r="G36" t="s">
        <v>205</v>
      </c>
      <c r="H36" s="127" t="s">
        <v>75</v>
      </c>
      <c r="I36" s="127" t="s">
        <v>64</v>
      </c>
      <c r="K36" s="2"/>
    </row>
    <row r="37" spans="3:15" x14ac:dyDescent="0.25">
      <c r="C37" s="127" t="s">
        <v>135</v>
      </c>
      <c r="D37" s="127" t="s">
        <v>204</v>
      </c>
      <c r="E37" s="127" t="s">
        <v>64</v>
      </c>
      <c r="F37" s="2"/>
      <c r="G37" t="s">
        <v>205</v>
      </c>
      <c r="H37" s="127" t="s">
        <v>75</v>
      </c>
      <c r="I37" s="127" t="s">
        <v>64</v>
      </c>
      <c r="K37" s="2"/>
    </row>
    <row r="38" spans="3:15" x14ac:dyDescent="0.25">
      <c r="C38" s="127" t="s">
        <v>150</v>
      </c>
      <c r="D38" s="127" t="s">
        <v>204</v>
      </c>
      <c r="E38" s="127" t="s">
        <v>64</v>
      </c>
      <c r="F38" s="2"/>
      <c r="G38" t="s">
        <v>205</v>
      </c>
      <c r="H38" s="127" t="s">
        <v>75</v>
      </c>
      <c r="I38" s="127" t="s">
        <v>64</v>
      </c>
      <c r="K38" s="2"/>
    </row>
    <row r="39" spans="3:15" x14ac:dyDescent="0.25">
      <c r="C39" s="127" t="s">
        <v>155</v>
      </c>
      <c r="D39" s="127" t="s">
        <v>204</v>
      </c>
      <c r="E39" s="127" t="s">
        <v>64</v>
      </c>
      <c r="F39" s="2"/>
      <c r="G39" t="s">
        <v>205</v>
      </c>
      <c r="H39" s="127" t="s">
        <v>75</v>
      </c>
      <c r="I39" s="127" t="s">
        <v>64</v>
      </c>
      <c r="K39" s="2"/>
    </row>
    <row r="40" spans="3:15" x14ac:dyDescent="0.25">
      <c r="C40" s="127" t="s">
        <v>129</v>
      </c>
      <c r="D40" s="127" t="s">
        <v>204</v>
      </c>
      <c r="E40" s="127" t="s">
        <v>64</v>
      </c>
      <c r="F40" s="2"/>
      <c r="G40" t="s">
        <v>205</v>
      </c>
      <c r="H40" s="127" t="s">
        <v>75</v>
      </c>
      <c r="I40" s="127" t="s">
        <v>64</v>
      </c>
      <c r="K40" s="2"/>
    </row>
    <row r="41" spans="3:15" x14ac:dyDescent="0.25">
      <c r="C41" s="127"/>
      <c r="D41" s="127"/>
      <c r="E41" s="127"/>
      <c r="F41" s="2"/>
      <c r="K41" s="2"/>
    </row>
    <row r="44" spans="3:15" x14ac:dyDescent="0.25">
      <c r="C44" s="180" t="s">
        <v>207</v>
      </c>
      <c r="D44" s="180"/>
      <c r="E44" s="180"/>
      <c r="F44" s="180"/>
      <c r="G44" s="180"/>
      <c r="H44" s="180"/>
      <c r="I44" s="180"/>
      <c r="J44" s="180"/>
      <c r="K44" s="180"/>
      <c r="L44" s="180"/>
      <c r="M44" s="180"/>
      <c r="N44" s="180"/>
      <c r="O44" s="180"/>
    </row>
    <row r="45" spans="3:15" x14ac:dyDescent="0.25">
      <c r="C45" s="180"/>
      <c r="D45" s="180"/>
      <c r="E45" s="180"/>
      <c r="F45" s="180"/>
      <c r="G45" s="180"/>
      <c r="H45" s="180"/>
      <c r="I45" s="180"/>
      <c r="J45" s="180"/>
      <c r="K45" s="180"/>
      <c r="L45" s="180"/>
      <c r="M45" s="180"/>
      <c r="N45" s="180"/>
      <c r="O45" s="180"/>
    </row>
    <row r="46" spans="3:15" x14ac:dyDescent="0.25">
      <c r="C46" s="2"/>
      <c r="D46" s="127" t="s">
        <v>202</v>
      </c>
      <c r="E46" s="127" t="s">
        <v>203</v>
      </c>
      <c r="F46" s="129"/>
      <c r="H46" s="127" t="s">
        <v>202</v>
      </c>
      <c r="I46" s="127" t="s">
        <v>203</v>
      </c>
      <c r="K46" s="2" t="s">
        <v>208</v>
      </c>
    </row>
    <row r="47" spans="3:15" x14ac:dyDescent="0.25">
      <c r="C47" s="128" t="s">
        <v>209</v>
      </c>
      <c r="D47" s="127" t="s">
        <v>73</v>
      </c>
      <c r="E47" s="128">
        <v>10</v>
      </c>
      <c r="F47" s="129"/>
      <c r="G47" t="s">
        <v>205</v>
      </c>
      <c r="H47" s="127" t="s">
        <v>210</v>
      </c>
      <c r="I47" s="128">
        <v>50</v>
      </c>
      <c r="K47" s="2">
        <v>129600</v>
      </c>
    </row>
    <row r="48" spans="3:15" x14ac:dyDescent="0.25">
      <c r="C48" s="127" t="s">
        <v>211</v>
      </c>
      <c r="D48" s="127" t="s">
        <v>73</v>
      </c>
      <c r="E48" s="127" t="s">
        <v>73</v>
      </c>
      <c r="F48" s="129"/>
      <c r="G48" t="s">
        <v>205</v>
      </c>
      <c r="H48" s="127" t="s">
        <v>69</v>
      </c>
      <c r="I48" s="127" t="s">
        <v>212</v>
      </c>
      <c r="K48" s="2">
        <v>129600</v>
      </c>
    </row>
    <row r="49" spans="3:11" x14ac:dyDescent="0.25">
      <c r="C49" s="127" t="s">
        <v>213</v>
      </c>
      <c r="D49" s="127" t="s">
        <v>73</v>
      </c>
      <c r="E49" s="127" t="s">
        <v>73</v>
      </c>
      <c r="F49" s="129"/>
      <c r="G49" t="s">
        <v>205</v>
      </c>
      <c r="H49" s="127" t="s">
        <v>214</v>
      </c>
      <c r="I49" s="127" t="s">
        <v>73</v>
      </c>
      <c r="K49" s="2">
        <v>129600</v>
      </c>
    </row>
    <row r="50" spans="3:11" x14ac:dyDescent="0.25">
      <c r="C50" s="127" t="s">
        <v>215</v>
      </c>
      <c r="D50" s="127" t="s">
        <v>73</v>
      </c>
      <c r="E50" s="127" t="s">
        <v>73</v>
      </c>
      <c r="F50" s="2"/>
      <c r="K50" s="2">
        <v>129600</v>
      </c>
    </row>
    <row r="51" spans="3:11" x14ac:dyDescent="0.25">
      <c r="C51" s="127" t="s">
        <v>216</v>
      </c>
      <c r="D51" s="127" t="s">
        <v>73</v>
      </c>
      <c r="E51" s="127" t="s">
        <v>73</v>
      </c>
      <c r="F51" s="2"/>
      <c r="K51" s="2">
        <v>129600</v>
      </c>
    </row>
    <row r="52" spans="3:11" x14ac:dyDescent="0.25">
      <c r="C52" s="127" t="s">
        <v>217</v>
      </c>
      <c r="D52" s="127" t="s">
        <v>73</v>
      </c>
      <c r="E52" s="127" t="s">
        <v>73</v>
      </c>
      <c r="F52" s="2"/>
      <c r="K52" s="2">
        <v>129600</v>
      </c>
    </row>
    <row r="53" spans="3:11" x14ac:dyDescent="0.25">
      <c r="C53" s="127" t="s">
        <v>218</v>
      </c>
      <c r="D53" s="127" t="s">
        <v>73</v>
      </c>
      <c r="E53" s="127" t="s">
        <v>73</v>
      </c>
      <c r="F53" s="2"/>
      <c r="K53" s="2">
        <v>129600</v>
      </c>
    </row>
    <row r="54" spans="3:11" x14ac:dyDescent="0.25">
      <c r="C54" s="127" t="s">
        <v>219</v>
      </c>
      <c r="D54" s="127" t="s">
        <v>73</v>
      </c>
      <c r="E54" s="127" t="s">
        <v>73</v>
      </c>
      <c r="F54" s="2"/>
      <c r="K54" s="2">
        <v>129600</v>
      </c>
    </row>
  </sheetData>
  <mergeCells count="14">
    <mergeCell ref="C2:O3"/>
    <mergeCell ref="C12:O13"/>
    <mergeCell ref="C24:O25"/>
    <mergeCell ref="C44:O45"/>
    <mergeCell ref="E16:O16"/>
    <mergeCell ref="E17:O17"/>
    <mergeCell ref="E18:O18"/>
    <mergeCell ref="E19:O19"/>
    <mergeCell ref="E20:O20"/>
    <mergeCell ref="E5:O5"/>
    <mergeCell ref="E6:O6"/>
    <mergeCell ref="E7:O7"/>
    <mergeCell ref="E8:O8"/>
    <mergeCell ref="E15:O15"/>
  </mergeCells>
  <phoneticPr fontId="1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O47"/>
  <sheetViews>
    <sheetView workbookViewId="0">
      <selection activeCell="C2" sqref="C2:O3"/>
    </sheetView>
  </sheetViews>
  <sheetFormatPr defaultColWidth="8.7265625" defaultRowHeight="14" x14ac:dyDescent="0.25"/>
  <cols>
    <col min="3" max="3" width="23" customWidth="1"/>
  </cols>
  <sheetData>
    <row r="2" spans="3:15" x14ac:dyDescent="0.25">
      <c r="C2" s="180" t="s">
        <v>165</v>
      </c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</row>
    <row r="3" spans="3:15" x14ac:dyDescent="0.25">
      <c r="C3" s="180"/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180"/>
      <c r="O3" s="180"/>
    </row>
    <row r="5" spans="3:15" x14ac:dyDescent="0.25">
      <c r="C5" s="222" t="s">
        <v>1117</v>
      </c>
      <c r="E5" s="179" t="s">
        <v>220</v>
      </c>
      <c r="F5" s="179"/>
      <c r="G5" s="179"/>
      <c r="H5" s="179"/>
      <c r="I5" s="179"/>
      <c r="J5" s="179"/>
      <c r="K5" s="179"/>
      <c r="L5" s="179"/>
      <c r="M5" s="179"/>
      <c r="N5" s="179"/>
      <c r="O5" s="179"/>
    </row>
    <row r="6" spans="3:15" x14ac:dyDescent="0.25">
      <c r="C6" t="s">
        <v>221</v>
      </c>
      <c r="E6" s="179" t="s">
        <v>220</v>
      </c>
      <c r="F6" s="179"/>
      <c r="G6" s="179"/>
      <c r="H6" s="179"/>
      <c r="I6" s="179"/>
      <c r="J6" s="179"/>
      <c r="K6" s="179"/>
      <c r="L6" s="179"/>
      <c r="M6" s="179"/>
      <c r="N6" s="179"/>
      <c r="O6" s="179"/>
    </row>
    <row r="7" spans="3:15" x14ac:dyDescent="0.25">
      <c r="C7" t="s">
        <v>222</v>
      </c>
      <c r="E7" s="179" t="s">
        <v>220</v>
      </c>
      <c r="F7" s="179"/>
      <c r="G7" s="179"/>
      <c r="H7" s="179"/>
      <c r="I7" s="179"/>
      <c r="J7" s="179"/>
      <c r="K7" s="179"/>
      <c r="L7" s="179"/>
      <c r="M7" s="179"/>
      <c r="N7" s="179"/>
      <c r="O7" s="179"/>
    </row>
    <row r="8" spans="3:15" x14ac:dyDescent="0.25">
      <c r="C8" t="s">
        <v>223</v>
      </c>
      <c r="E8" s="179" t="s">
        <v>220</v>
      </c>
      <c r="F8" s="179"/>
      <c r="G8" s="179"/>
      <c r="H8" s="179"/>
      <c r="I8" s="179"/>
      <c r="J8" s="179"/>
      <c r="K8" s="179"/>
      <c r="L8" s="179"/>
      <c r="M8" s="179"/>
      <c r="N8" s="179"/>
      <c r="O8" s="179"/>
    </row>
    <row r="9" spans="3:15" x14ac:dyDescent="0.25">
      <c r="C9" t="s">
        <v>224</v>
      </c>
      <c r="E9" s="179" t="s">
        <v>220</v>
      </c>
      <c r="F9" s="179"/>
      <c r="G9" s="179"/>
      <c r="H9" s="179"/>
      <c r="I9" s="179"/>
      <c r="J9" s="179"/>
      <c r="K9" s="179"/>
      <c r="L9" s="179"/>
      <c r="M9" s="179"/>
      <c r="N9" s="179"/>
      <c r="O9" s="179"/>
    </row>
    <row r="10" spans="3:15" x14ac:dyDescent="0.25">
      <c r="C10" t="s">
        <v>225</v>
      </c>
      <c r="E10" s="179" t="s">
        <v>226</v>
      </c>
      <c r="F10" s="179"/>
      <c r="G10" s="179"/>
      <c r="H10" s="179"/>
      <c r="I10" s="179"/>
      <c r="J10" s="179"/>
      <c r="K10" s="179"/>
      <c r="L10" s="179"/>
      <c r="M10" s="179"/>
      <c r="N10" s="179"/>
      <c r="O10" s="179"/>
    </row>
    <row r="14" spans="3:15" x14ac:dyDescent="0.25">
      <c r="C14" s="180" t="s">
        <v>227</v>
      </c>
      <c r="D14" s="180"/>
      <c r="E14" s="180"/>
      <c r="F14" s="180"/>
      <c r="G14" s="180"/>
      <c r="H14" s="180"/>
      <c r="I14" s="180"/>
      <c r="J14" s="180"/>
      <c r="K14" s="180"/>
      <c r="L14" s="180"/>
      <c r="M14" s="180"/>
      <c r="N14" s="180"/>
      <c r="O14" s="180"/>
    </row>
    <row r="15" spans="3:15" x14ac:dyDescent="0.25">
      <c r="C15" s="180"/>
      <c r="D15" s="180"/>
      <c r="E15" s="180"/>
      <c r="F15" s="180"/>
      <c r="G15" s="180"/>
      <c r="H15" s="180"/>
      <c r="I15" s="180"/>
      <c r="J15" s="180"/>
      <c r="K15" s="180"/>
      <c r="L15" s="180"/>
      <c r="M15" s="180"/>
      <c r="N15" s="180"/>
      <c r="O15" s="180"/>
    </row>
    <row r="17" spans="3:15" x14ac:dyDescent="0.25">
      <c r="C17" t="s">
        <v>228</v>
      </c>
      <c r="E17" s="179" t="s">
        <v>229</v>
      </c>
      <c r="F17" s="179"/>
      <c r="G17" s="179"/>
      <c r="H17" s="179"/>
      <c r="I17" s="179"/>
      <c r="J17" s="179"/>
      <c r="K17" s="179"/>
      <c r="L17" s="179"/>
      <c r="M17" s="179"/>
      <c r="N17" s="179"/>
      <c r="O17" s="179"/>
    </row>
    <row r="18" spans="3:15" x14ac:dyDescent="0.25">
      <c r="C18" t="s">
        <v>230</v>
      </c>
      <c r="E18" s="179" t="s">
        <v>231</v>
      </c>
      <c r="F18" s="179"/>
      <c r="G18" s="179"/>
      <c r="H18" s="179"/>
      <c r="I18" s="179"/>
      <c r="J18" s="179"/>
      <c r="K18" s="179"/>
      <c r="L18" s="179"/>
      <c r="M18" s="179"/>
      <c r="N18" s="179"/>
      <c r="O18" s="179"/>
    </row>
    <row r="19" spans="3:15" x14ac:dyDescent="0.25">
      <c r="C19" t="s">
        <v>232</v>
      </c>
      <c r="E19" s="179" t="s">
        <v>233</v>
      </c>
      <c r="F19" s="179"/>
      <c r="G19" s="179"/>
      <c r="H19" s="179"/>
      <c r="I19" s="179"/>
      <c r="J19" s="179"/>
      <c r="K19" s="179"/>
      <c r="L19" s="179"/>
      <c r="M19" s="179"/>
      <c r="N19" s="179"/>
      <c r="O19" s="179"/>
    </row>
    <row r="20" spans="3:15" x14ac:dyDescent="0.25">
      <c r="C20" t="s">
        <v>234</v>
      </c>
      <c r="E20" s="179" t="s">
        <v>235</v>
      </c>
      <c r="F20" s="179"/>
      <c r="G20" s="179"/>
      <c r="H20" s="179"/>
      <c r="I20" s="179"/>
      <c r="J20" s="179"/>
      <c r="K20" s="179"/>
      <c r="L20" s="179"/>
      <c r="M20" s="179"/>
      <c r="N20" s="179"/>
      <c r="O20" s="179"/>
    </row>
    <row r="21" spans="3:15" x14ac:dyDescent="0.25">
      <c r="C21" t="s">
        <v>236</v>
      </c>
      <c r="E21" s="179" t="s">
        <v>237</v>
      </c>
      <c r="F21" s="179"/>
      <c r="G21" s="179"/>
      <c r="H21" s="179"/>
      <c r="I21" s="179"/>
      <c r="J21" s="179"/>
      <c r="K21" s="179"/>
      <c r="L21" s="179"/>
      <c r="M21" s="179"/>
      <c r="N21" s="179"/>
      <c r="O21" s="179"/>
    </row>
    <row r="22" spans="3:15" x14ac:dyDescent="0.25">
      <c r="C22" t="s">
        <v>238</v>
      </c>
      <c r="E22" s="179" t="s">
        <v>239</v>
      </c>
      <c r="F22" s="179"/>
      <c r="G22" s="179"/>
      <c r="H22" s="179"/>
      <c r="I22" s="179"/>
      <c r="J22" s="179"/>
      <c r="K22" s="179"/>
      <c r="L22" s="179"/>
      <c r="M22" s="179"/>
      <c r="N22" s="179"/>
      <c r="O22" s="179"/>
    </row>
    <row r="23" spans="3:15" x14ac:dyDescent="0.25">
      <c r="C23" t="s">
        <v>240</v>
      </c>
      <c r="E23" s="179" t="s">
        <v>241</v>
      </c>
      <c r="F23" s="179"/>
      <c r="G23" s="179"/>
      <c r="H23" s="179"/>
      <c r="I23" s="179"/>
      <c r="J23" s="179"/>
      <c r="K23" s="179"/>
      <c r="L23" s="179"/>
      <c r="M23" s="179"/>
      <c r="N23" s="179"/>
      <c r="O23" s="179"/>
    </row>
    <row r="24" spans="3:15" x14ac:dyDescent="0.25">
      <c r="C24" t="s">
        <v>242</v>
      </c>
      <c r="E24" s="179" t="s">
        <v>243</v>
      </c>
      <c r="F24" s="179"/>
      <c r="G24" s="179"/>
      <c r="H24" s="179"/>
      <c r="I24" s="179"/>
      <c r="J24" s="179"/>
      <c r="K24" s="179"/>
      <c r="L24" s="179"/>
      <c r="M24" s="179"/>
      <c r="N24" s="179"/>
      <c r="O24" s="179"/>
    </row>
    <row r="25" spans="3:15" x14ac:dyDescent="0.25">
      <c r="C25" t="s">
        <v>244</v>
      </c>
      <c r="E25" s="179" t="s">
        <v>245</v>
      </c>
      <c r="F25" s="179"/>
      <c r="G25" s="179"/>
      <c r="H25" s="179"/>
      <c r="I25" s="179"/>
      <c r="J25" s="179"/>
      <c r="K25" s="179"/>
      <c r="L25" s="179"/>
      <c r="M25" s="179"/>
      <c r="N25" s="179"/>
      <c r="O25" s="179"/>
    </row>
    <row r="26" spans="3:15" x14ac:dyDescent="0.25">
      <c r="C26" t="s">
        <v>246</v>
      </c>
      <c r="E26" s="179" t="s">
        <v>247</v>
      </c>
      <c r="F26" s="179"/>
      <c r="G26" s="179"/>
      <c r="H26" s="179"/>
      <c r="I26" s="179"/>
      <c r="J26" s="179"/>
      <c r="K26" s="179"/>
      <c r="L26" s="179"/>
      <c r="M26" s="179"/>
      <c r="N26" s="179"/>
      <c r="O26" s="179"/>
    </row>
    <row r="27" spans="3:15" x14ac:dyDescent="0.2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 x14ac:dyDescent="0.2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 x14ac:dyDescent="0.25">
      <c r="C30" s="180" t="s">
        <v>248</v>
      </c>
      <c r="D30" s="180"/>
      <c r="E30" s="180"/>
      <c r="F30" s="180"/>
      <c r="G30" s="180"/>
      <c r="H30" s="180"/>
      <c r="I30" s="180"/>
      <c r="J30" s="180"/>
      <c r="K30" s="180"/>
      <c r="L30" s="180"/>
      <c r="M30" s="180"/>
      <c r="N30" s="180"/>
      <c r="O30" s="180"/>
    </row>
    <row r="31" spans="3:15" x14ac:dyDescent="0.25">
      <c r="C31" s="180"/>
      <c r="D31" s="180"/>
      <c r="E31" s="180"/>
      <c r="F31" s="180"/>
      <c r="G31" s="180"/>
      <c r="H31" s="180"/>
      <c r="I31" s="180"/>
      <c r="J31" s="180"/>
      <c r="K31" s="180"/>
      <c r="L31" s="180"/>
      <c r="M31" s="180"/>
      <c r="N31" s="180"/>
      <c r="O31" s="180"/>
    </row>
    <row r="33" spans="3:15" x14ac:dyDescent="0.25">
      <c r="C33" t="s">
        <v>249</v>
      </c>
      <c r="E33" s="179" t="s">
        <v>250</v>
      </c>
      <c r="F33" s="179"/>
      <c r="G33" s="179"/>
      <c r="H33" s="179"/>
      <c r="I33" s="179"/>
      <c r="J33" s="179"/>
      <c r="K33" s="179"/>
      <c r="L33" s="179"/>
      <c r="M33" s="179"/>
      <c r="N33" s="179"/>
      <c r="O33" s="179"/>
    </row>
    <row r="34" spans="3:15" x14ac:dyDescent="0.25">
      <c r="C34" t="s">
        <v>251</v>
      </c>
      <c r="E34" s="179" t="s">
        <v>252</v>
      </c>
      <c r="F34" s="179"/>
      <c r="G34" s="179"/>
      <c r="H34" s="179"/>
      <c r="I34" s="179"/>
      <c r="J34" s="179"/>
      <c r="K34" s="179"/>
      <c r="L34" s="179"/>
      <c r="M34" s="179"/>
      <c r="N34" s="179"/>
      <c r="O34" s="179"/>
    </row>
    <row r="35" spans="3:15" x14ac:dyDescent="0.25">
      <c r="C35" t="s">
        <v>253</v>
      </c>
      <c r="E35" s="179" t="s">
        <v>254</v>
      </c>
      <c r="F35" s="179"/>
      <c r="G35" s="179"/>
      <c r="H35" s="179"/>
      <c r="I35" s="179"/>
      <c r="J35" s="179"/>
      <c r="K35" s="179"/>
      <c r="L35" s="179"/>
      <c r="M35" s="179"/>
      <c r="N35" s="179"/>
      <c r="O35" s="179"/>
    </row>
    <row r="36" spans="3:15" x14ac:dyDescent="0.25">
      <c r="C36" t="s">
        <v>255</v>
      </c>
      <c r="E36" s="179" t="s">
        <v>256</v>
      </c>
      <c r="F36" s="179"/>
      <c r="G36" s="179"/>
      <c r="H36" s="179"/>
      <c r="I36" s="179"/>
      <c r="J36" s="179"/>
      <c r="K36" s="179"/>
      <c r="L36" s="179"/>
      <c r="M36" s="179"/>
      <c r="N36" s="179"/>
      <c r="O36" s="179"/>
    </row>
    <row r="37" spans="3:15" x14ac:dyDescent="0.25">
      <c r="C37" t="s">
        <v>257</v>
      </c>
      <c r="E37" s="179" t="s">
        <v>258</v>
      </c>
      <c r="F37" s="179"/>
      <c r="G37" s="179"/>
      <c r="H37" s="179"/>
      <c r="I37" s="179"/>
      <c r="J37" s="179"/>
      <c r="K37" s="179"/>
      <c r="L37" s="179"/>
      <c r="M37" s="179"/>
      <c r="N37" s="179"/>
      <c r="O37" s="179"/>
    </row>
    <row r="39" spans="3:15" x14ac:dyDescent="0.25">
      <c r="C39" t="s">
        <v>259</v>
      </c>
      <c r="E39" s="179" t="s">
        <v>260</v>
      </c>
      <c r="F39" s="179"/>
      <c r="G39" s="179"/>
      <c r="H39" s="179"/>
      <c r="I39" s="179"/>
      <c r="J39" s="179"/>
      <c r="K39" s="179"/>
      <c r="L39" s="179"/>
      <c r="M39" s="179"/>
      <c r="N39" s="179"/>
      <c r="O39" s="179"/>
    </row>
    <row r="40" spans="3:15" x14ac:dyDescent="0.25">
      <c r="C40" t="s">
        <v>261</v>
      </c>
      <c r="E40" s="179" t="s">
        <v>262</v>
      </c>
      <c r="F40" s="179"/>
      <c r="G40" s="179"/>
      <c r="H40" s="179"/>
      <c r="I40" s="179"/>
      <c r="J40" s="179"/>
      <c r="K40" s="179"/>
      <c r="L40" s="179"/>
      <c r="M40" s="179"/>
      <c r="N40" s="179"/>
      <c r="O40" s="179"/>
    </row>
    <row r="41" spans="3:15" x14ac:dyDescent="0.25">
      <c r="C41" t="s">
        <v>263</v>
      </c>
      <c r="E41" s="179" t="s">
        <v>264</v>
      </c>
      <c r="F41" s="179"/>
      <c r="G41" s="179"/>
      <c r="H41" s="179"/>
      <c r="I41" s="179"/>
      <c r="J41" s="179"/>
      <c r="K41" s="179"/>
      <c r="L41" s="179"/>
      <c r="M41" s="179"/>
      <c r="N41" s="179"/>
      <c r="O41" s="179"/>
    </row>
    <row r="42" spans="3:15" x14ac:dyDescent="0.25">
      <c r="C42" t="s">
        <v>265</v>
      </c>
      <c r="E42" s="179" t="s">
        <v>266</v>
      </c>
      <c r="F42" s="179"/>
      <c r="G42" s="179"/>
      <c r="H42" s="179"/>
      <c r="I42" s="179"/>
      <c r="J42" s="179"/>
      <c r="K42" s="179"/>
      <c r="L42" s="179"/>
      <c r="M42" s="179"/>
      <c r="N42" s="179"/>
      <c r="O42" s="179"/>
    </row>
    <row r="44" spans="3:15" x14ac:dyDescent="0.25">
      <c r="C44" t="s">
        <v>267</v>
      </c>
      <c r="E44" s="179" t="s">
        <v>268</v>
      </c>
      <c r="F44" s="179"/>
      <c r="G44" s="179"/>
      <c r="H44" s="179"/>
      <c r="I44" s="179"/>
      <c r="J44" s="179"/>
      <c r="K44" s="179"/>
      <c r="L44" s="179"/>
      <c r="M44" s="179"/>
      <c r="N44" s="179"/>
      <c r="O44" s="179"/>
    </row>
    <row r="45" spans="3:15" x14ac:dyDescent="0.25">
      <c r="C45" t="s">
        <v>269</v>
      </c>
      <c r="E45" s="179" t="s">
        <v>270</v>
      </c>
      <c r="F45" s="179"/>
      <c r="G45" s="179"/>
      <c r="H45" s="179"/>
      <c r="I45" s="179"/>
      <c r="J45" s="179"/>
      <c r="K45" s="179"/>
      <c r="L45" s="179"/>
      <c r="M45" s="179"/>
      <c r="N45" s="179"/>
      <c r="O45" s="179"/>
    </row>
    <row r="46" spans="3:15" x14ac:dyDescent="0.25">
      <c r="C46" t="s">
        <v>271</v>
      </c>
      <c r="E46" s="179" t="s">
        <v>272</v>
      </c>
      <c r="F46" s="179"/>
      <c r="G46" s="179"/>
      <c r="H46" s="179"/>
      <c r="I46" s="179"/>
      <c r="J46" s="179"/>
      <c r="K46" s="179"/>
      <c r="L46" s="179"/>
      <c r="M46" s="179"/>
      <c r="N46" s="179"/>
      <c r="O46" s="179"/>
    </row>
    <row r="47" spans="3:15" x14ac:dyDescent="0.25">
      <c r="C47" t="s">
        <v>273</v>
      </c>
      <c r="E47" s="179" t="s">
        <v>274</v>
      </c>
      <c r="F47" s="179"/>
      <c r="G47" s="179"/>
      <c r="H47" s="179"/>
      <c r="I47" s="179"/>
      <c r="J47" s="179"/>
      <c r="K47" s="179"/>
      <c r="L47" s="179"/>
      <c r="M47" s="179"/>
      <c r="N47" s="179"/>
      <c r="O47" s="179"/>
    </row>
  </sheetData>
  <mergeCells count="32">
    <mergeCell ref="E44:O44"/>
    <mergeCell ref="E45:O45"/>
    <mergeCell ref="E46:O46"/>
    <mergeCell ref="E47:O47"/>
    <mergeCell ref="C2:O3"/>
    <mergeCell ref="C14:O15"/>
    <mergeCell ref="C30:O31"/>
    <mergeCell ref="E37:O37"/>
    <mergeCell ref="E39:O39"/>
    <mergeCell ref="E40:O40"/>
    <mergeCell ref="E41:O41"/>
    <mergeCell ref="E42:O42"/>
    <mergeCell ref="E26:O26"/>
    <mergeCell ref="E33:O33"/>
    <mergeCell ref="E34:O34"/>
    <mergeCell ref="E35:O35"/>
    <mergeCell ref="E36:O36"/>
    <mergeCell ref="E21:O21"/>
    <mergeCell ref="E22:O22"/>
    <mergeCell ref="E23:O23"/>
    <mergeCell ref="E24:O24"/>
    <mergeCell ref="E25:O25"/>
    <mergeCell ref="E10:O10"/>
    <mergeCell ref="E17:O17"/>
    <mergeCell ref="E18:O18"/>
    <mergeCell ref="E19:O19"/>
    <mergeCell ref="E20:O20"/>
    <mergeCell ref="E5:O5"/>
    <mergeCell ref="E6:O6"/>
    <mergeCell ref="E7:O7"/>
    <mergeCell ref="E8:O8"/>
    <mergeCell ref="E9:O9"/>
  </mergeCells>
  <phoneticPr fontId="1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G28"/>
  <sheetViews>
    <sheetView workbookViewId="0">
      <selection activeCell="C2" sqref="C2:G3"/>
    </sheetView>
  </sheetViews>
  <sheetFormatPr defaultColWidth="8.7265625" defaultRowHeight="14" x14ac:dyDescent="0.25"/>
  <cols>
    <col min="4" max="4" width="16.26953125" customWidth="1"/>
    <col min="6" max="6" width="14" customWidth="1"/>
  </cols>
  <sheetData>
    <row r="2" spans="3:7" x14ac:dyDescent="0.25">
      <c r="C2" s="181" t="s">
        <v>275</v>
      </c>
      <c r="D2" s="182"/>
      <c r="E2" s="182"/>
      <c r="F2" s="182"/>
      <c r="G2" s="183"/>
    </row>
    <row r="3" spans="3:7" x14ac:dyDescent="0.25">
      <c r="C3" s="184"/>
      <c r="D3" s="185"/>
      <c r="E3" s="185"/>
      <c r="F3" s="185"/>
      <c r="G3" s="186"/>
    </row>
    <row r="6" spans="3:7" x14ac:dyDescent="0.25">
      <c r="D6" t="s">
        <v>276</v>
      </c>
      <c r="E6" s="221" t="s">
        <v>1116</v>
      </c>
      <c r="F6" t="s">
        <v>277</v>
      </c>
    </row>
    <row r="7" spans="3:7" x14ac:dyDescent="0.25">
      <c r="D7" t="s">
        <v>278</v>
      </c>
      <c r="E7" s="221" t="s">
        <v>1116</v>
      </c>
      <c r="F7" t="s">
        <v>279</v>
      </c>
    </row>
    <row r="8" spans="3:7" x14ac:dyDescent="0.25">
      <c r="D8" t="s">
        <v>280</v>
      </c>
      <c r="E8" s="221" t="s">
        <v>1116</v>
      </c>
      <c r="F8" t="s">
        <v>281</v>
      </c>
    </row>
    <row r="9" spans="3:7" x14ac:dyDescent="0.25">
      <c r="D9" t="s">
        <v>282</v>
      </c>
      <c r="E9" s="221" t="s">
        <v>1116</v>
      </c>
      <c r="F9" t="s">
        <v>283</v>
      </c>
    </row>
    <row r="10" spans="3:7" x14ac:dyDescent="0.25">
      <c r="D10" t="s">
        <v>284</v>
      </c>
      <c r="E10" s="221" t="s">
        <v>1116</v>
      </c>
      <c r="F10" t="s">
        <v>285</v>
      </c>
    </row>
    <row r="11" spans="3:7" x14ac:dyDescent="0.25">
      <c r="D11" t="s">
        <v>286</v>
      </c>
      <c r="E11" s="221" t="s">
        <v>1116</v>
      </c>
      <c r="F11" t="s">
        <v>287</v>
      </c>
    </row>
    <row r="12" spans="3:7" x14ac:dyDescent="0.25">
      <c r="D12" t="s">
        <v>288</v>
      </c>
      <c r="E12" s="221" t="s">
        <v>1116</v>
      </c>
      <c r="F12" t="s">
        <v>289</v>
      </c>
    </row>
    <row r="13" spans="3:7" x14ac:dyDescent="0.25">
      <c r="D13" t="s">
        <v>290</v>
      </c>
      <c r="E13" s="221" t="s">
        <v>1116</v>
      </c>
      <c r="F13" t="s">
        <v>291</v>
      </c>
    </row>
    <row r="14" spans="3:7" x14ac:dyDescent="0.25">
      <c r="D14" t="s">
        <v>292</v>
      </c>
      <c r="E14" s="221" t="s">
        <v>1116</v>
      </c>
      <c r="F14" t="s">
        <v>293</v>
      </c>
    </row>
    <row r="15" spans="3:7" x14ac:dyDescent="0.25">
      <c r="D15" t="s">
        <v>294</v>
      </c>
      <c r="E15" s="221" t="s">
        <v>1116</v>
      </c>
      <c r="F15" t="s">
        <v>295</v>
      </c>
    </row>
    <row r="16" spans="3:7" x14ac:dyDescent="0.25">
      <c r="D16" t="s">
        <v>296</v>
      </c>
      <c r="E16" s="221" t="s">
        <v>1116</v>
      </c>
      <c r="F16" t="s">
        <v>297</v>
      </c>
    </row>
    <row r="17" spans="4:6" x14ac:dyDescent="0.25">
      <c r="D17" t="s">
        <v>298</v>
      </c>
      <c r="E17" s="221" t="s">
        <v>1116</v>
      </c>
      <c r="F17" t="s">
        <v>299</v>
      </c>
    </row>
    <row r="18" spans="4:6" x14ac:dyDescent="0.25">
      <c r="D18" t="s">
        <v>300</v>
      </c>
      <c r="E18" s="221" t="s">
        <v>1116</v>
      </c>
      <c r="F18" t="s">
        <v>301</v>
      </c>
    </row>
    <row r="19" spans="4:6" x14ac:dyDescent="0.25">
      <c r="D19" t="s">
        <v>302</v>
      </c>
      <c r="E19" s="221" t="s">
        <v>1116</v>
      </c>
      <c r="F19" t="s">
        <v>303</v>
      </c>
    </row>
    <row r="20" spans="4:6" x14ac:dyDescent="0.25">
      <c r="D20" t="s">
        <v>304</v>
      </c>
      <c r="E20" s="221" t="s">
        <v>1116</v>
      </c>
      <c r="F20" t="s">
        <v>305</v>
      </c>
    </row>
    <row r="21" spans="4:6" x14ac:dyDescent="0.25">
      <c r="D21" t="s">
        <v>306</v>
      </c>
      <c r="E21" s="221" t="s">
        <v>1116</v>
      </c>
      <c r="F21" t="s">
        <v>307</v>
      </c>
    </row>
    <row r="22" spans="4:6" x14ac:dyDescent="0.25">
      <c r="D22" t="s">
        <v>308</v>
      </c>
      <c r="E22" s="221" t="s">
        <v>1116</v>
      </c>
      <c r="F22" t="s">
        <v>309</v>
      </c>
    </row>
    <row r="23" spans="4:6" x14ac:dyDescent="0.25">
      <c r="D23" t="s">
        <v>310</v>
      </c>
      <c r="E23" s="221" t="s">
        <v>1116</v>
      </c>
      <c r="F23" t="s">
        <v>311</v>
      </c>
    </row>
    <row r="24" spans="4:6" x14ac:dyDescent="0.25">
      <c r="D24" t="s">
        <v>312</v>
      </c>
      <c r="E24" s="221" t="s">
        <v>1116</v>
      </c>
      <c r="F24" t="s">
        <v>313</v>
      </c>
    </row>
    <row r="25" spans="4:6" x14ac:dyDescent="0.25">
      <c r="D25" t="s">
        <v>314</v>
      </c>
      <c r="E25" s="221" t="s">
        <v>1116</v>
      </c>
      <c r="F25" t="s">
        <v>315</v>
      </c>
    </row>
    <row r="26" spans="4:6" x14ac:dyDescent="0.25">
      <c r="D26" t="s">
        <v>316</v>
      </c>
      <c r="E26" s="221" t="s">
        <v>1116</v>
      </c>
      <c r="F26" t="s">
        <v>317</v>
      </c>
    </row>
    <row r="27" spans="4:6" x14ac:dyDescent="0.25">
      <c r="D27" t="s">
        <v>318</v>
      </c>
      <c r="E27" s="221" t="s">
        <v>1116</v>
      </c>
      <c r="F27" t="s">
        <v>319</v>
      </c>
    </row>
    <row r="28" spans="4:6" x14ac:dyDescent="0.25">
      <c r="D28" t="s">
        <v>320</v>
      </c>
      <c r="E28" s="221" t="s">
        <v>1116</v>
      </c>
      <c r="F28" t="s">
        <v>321</v>
      </c>
    </row>
  </sheetData>
  <mergeCells count="1">
    <mergeCell ref="C2:G3"/>
  </mergeCells>
  <phoneticPr fontId="1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2:P18"/>
  <sheetViews>
    <sheetView workbookViewId="0">
      <selection activeCell="D2" sqref="D2:P3"/>
    </sheetView>
  </sheetViews>
  <sheetFormatPr defaultColWidth="8.7265625" defaultRowHeight="14" x14ac:dyDescent="0.25"/>
  <cols>
    <col min="4" max="4" width="8.54296875" customWidth="1"/>
    <col min="5" max="5" width="11.26953125" customWidth="1"/>
    <col min="6" max="6" width="10.90625" customWidth="1"/>
    <col min="7" max="7" width="12.453125" customWidth="1"/>
    <col min="8" max="8" width="14" customWidth="1"/>
    <col min="13" max="13" width="16.26953125" customWidth="1"/>
  </cols>
  <sheetData>
    <row r="2" spans="4:16" x14ac:dyDescent="0.25">
      <c r="D2" s="180" t="s">
        <v>322</v>
      </c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</row>
    <row r="3" spans="4:16" x14ac:dyDescent="0.25"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180"/>
      <c r="O3" s="180"/>
      <c r="P3" s="180"/>
    </row>
    <row r="6" spans="4:16" x14ac:dyDescent="0.25">
      <c r="L6" t="s">
        <v>323</v>
      </c>
      <c r="M6" t="s">
        <v>20</v>
      </c>
    </row>
    <row r="8" spans="4:16" x14ac:dyDescent="0.25">
      <c r="D8" t="s">
        <v>324</v>
      </c>
      <c r="E8" s="121"/>
      <c r="G8" t="s">
        <v>325</v>
      </c>
      <c r="J8" t="s">
        <v>326</v>
      </c>
      <c r="L8" t="s">
        <v>327</v>
      </c>
      <c r="M8" t="s">
        <v>328</v>
      </c>
    </row>
    <row r="9" spans="4:16" x14ac:dyDescent="0.25">
      <c r="D9" t="s">
        <v>329</v>
      </c>
      <c r="E9" s="122"/>
      <c r="G9" t="s">
        <v>330</v>
      </c>
      <c r="J9" t="s">
        <v>331</v>
      </c>
      <c r="L9" t="s">
        <v>327</v>
      </c>
      <c r="M9" t="s">
        <v>332</v>
      </c>
    </row>
    <row r="10" spans="4:16" x14ac:dyDescent="0.25">
      <c r="D10" t="s">
        <v>333</v>
      </c>
      <c r="E10" s="123"/>
      <c r="G10" t="s">
        <v>334</v>
      </c>
      <c r="J10" t="s">
        <v>335</v>
      </c>
      <c r="L10" t="s">
        <v>327</v>
      </c>
      <c r="M10" t="s">
        <v>336</v>
      </c>
    </row>
    <row r="12" spans="4:16" x14ac:dyDescent="0.25">
      <c r="D12" t="s">
        <v>337</v>
      </c>
      <c r="E12" s="124"/>
      <c r="G12" t="s">
        <v>338</v>
      </c>
      <c r="J12" t="s">
        <v>326</v>
      </c>
      <c r="L12" t="s">
        <v>339</v>
      </c>
      <c r="M12" t="s">
        <v>328</v>
      </c>
    </row>
    <row r="13" spans="4:16" x14ac:dyDescent="0.25">
      <c r="D13" t="s">
        <v>340</v>
      </c>
      <c r="E13" s="125"/>
      <c r="G13" t="s">
        <v>341</v>
      </c>
      <c r="J13" t="s">
        <v>331</v>
      </c>
      <c r="L13" t="s">
        <v>339</v>
      </c>
      <c r="M13" t="s">
        <v>332</v>
      </c>
    </row>
    <row r="14" spans="4:16" x14ac:dyDescent="0.25">
      <c r="D14" t="s">
        <v>342</v>
      </c>
      <c r="E14" s="126"/>
      <c r="G14" t="s">
        <v>343</v>
      </c>
      <c r="J14" t="s">
        <v>335</v>
      </c>
      <c r="L14" t="s">
        <v>339</v>
      </c>
      <c r="M14" t="s">
        <v>336</v>
      </c>
    </row>
    <row r="16" spans="4:16" x14ac:dyDescent="0.25">
      <c r="G16" t="s">
        <v>344</v>
      </c>
      <c r="H16" t="s">
        <v>345</v>
      </c>
      <c r="J16" t="s">
        <v>326</v>
      </c>
      <c r="L16" t="s">
        <v>346</v>
      </c>
      <c r="M16" t="s">
        <v>347</v>
      </c>
    </row>
    <row r="17" spans="7:13" x14ac:dyDescent="0.25">
      <c r="G17" t="s">
        <v>348</v>
      </c>
      <c r="J17" t="s">
        <v>331</v>
      </c>
      <c r="L17" t="s">
        <v>346</v>
      </c>
      <c r="M17" t="s">
        <v>347</v>
      </c>
    </row>
    <row r="18" spans="7:13" x14ac:dyDescent="0.25">
      <c r="G18" t="s">
        <v>349</v>
      </c>
      <c r="J18" t="s">
        <v>335</v>
      </c>
      <c r="L18" t="s">
        <v>346</v>
      </c>
      <c r="M18" t="s">
        <v>347</v>
      </c>
    </row>
  </sheetData>
  <mergeCells count="1">
    <mergeCell ref="D2:P3"/>
  </mergeCells>
  <phoneticPr fontId="1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E13:Q30"/>
  <sheetViews>
    <sheetView workbookViewId="0">
      <selection activeCell="E13" sqref="E13:Q20"/>
    </sheetView>
  </sheetViews>
  <sheetFormatPr defaultColWidth="8.7265625" defaultRowHeight="14" x14ac:dyDescent="0.25"/>
  <sheetData>
    <row r="13" spans="5:17" x14ac:dyDescent="0.25">
      <c r="E13" s="157" t="s">
        <v>350</v>
      </c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</row>
    <row r="14" spans="5:17" x14ac:dyDescent="0.25"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</row>
    <row r="15" spans="5:17" x14ac:dyDescent="0.25"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</row>
    <row r="16" spans="5:17" x14ac:dyDescent="0.25"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</row>
    <row r="17" spans="5:17" x14ac:dyDescent="0.25"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</row>
    <row r="18" spans="5:17" x14ac:dyDescent="0.25"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</row>
    <row r="19" spans="5:17" x14ac:dyDescent="0.25"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</row>
    <row r="20" spans="5:17" x14ac:dyDescent="0.25"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</row>
    <row r="23" spans="5:17" x14ac:dyDescent="0.25">
      <c r="E23" s="157" t="s">
        <v>351</v>
      </c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</row>
    <row r="24" spans="5:17" x14ac:dyDescent="0.25"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</row>
    <row r="25" spans="5:17" x14ac:dyDescent="0.25"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</row>
    <row r="26" spans="5:17" x14ac:dyDescent="0.25"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</row>
    <row r="27" spans="5:17" x14ac:dyDescent="0.25"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</row>
    <row r="28" spans="5:17" x14ac:dyDescent="0.25"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</row>
    <row r="29" spans="5:17" x14ac:dyDescent="0.25"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</row>
    <row r="30" spans="5:17" x14ac:dyDescent="0.25"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</row>
  </sheetData>
  <mergeCells count="2">
    <mergeCell ref="E13:Q20"/>
    <mergeCell ref="E23:Q30"/>
  </mergeCells>
  <phoneticPr fontId="1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3:N29"/>
  <sheetViews>
    <sheetView workbookViewId="0">
      <selection activeCell="C3" sqref="C3:N4"/>
    </sheetView>
  </sheetViews>
  <sheetFormatPr defaultColWidth="8.7265625" defaultRowHeight="14" x14ac:dyDescent="0.25"/>
  <cols>
    <col min="4" max="4" width="9.54296875" customWidth="1"/>
    <col min="6" max="6" width="18.54296875" customWidth="1"/>
    <col min="7" max="7" width="21.90625" customWidth="1"/>
    <col min="8" max="8" width="10.6328125" customWidth="1"/>
    <col min="10" max="10" width="17.36328125" customWidth="1"/>
  </cols>
  <sheetData>
    <row r="3" spans="3:14" x14ac:dyDescent="0.25">
      <c r="C3" s="180" t="s">
        <v>352</v>
      </c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180"/>
    </row>
    <row r="4" spans="3:14" x14ac:dyDescent="0.25">
      <c r="C4" s="180"/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</row>
    <row r="7" spans="3:14" x14ac:dyDescent="0.25">
      <c r="D7" s="180" t="s">
        <v>352</v>
      </c>
      <c r="F7" s="180" t="s">
        <v>353</v>
      </c>
      <c r="G7" s="180"/>
      <c r="H7" s="180"/>
      <c r="J7" s="180" t="s">
        <v>354</v>
      </c>
      <c r="K7" s="180"/>
      <c r="L7" s="180"/>
      <c r="M7" s="180"/>
    </row>
    <row r="8" spans="3:14" x14ac:dyDescent="0.25">
      <c r="D8" s="180"/>
      <c r="F8" s="180"/>
      <c r="G8" s="180"/>
      <c r="H8" s="180"/>
      <c r="J8" s="180"/>
      <c r="K8" s="180"/>
      <c r="L8" s="180"/>
      <c r="M8" s="180"/>
    </row>
    <row r="10" spans="3:14" x14ac:dyDescent="0.25">
      <c r="D10" s="117" t="s">
        <v>355</v>
      </c>
      <c r="E10" s="118"/>
      <c r="F10" s="118" t="s">
        <v>356</v>
      </c>
      <c r="G10" s="118" t="s">
        <v>357</v>
      </c>
      <c r="H10" s="118"/>
      <c r="I10" s="118"/>
      <c r="J10" s="187" t="s">
        <v>358</v>
      </c>
      <c r="K10" s="187"/>
      <c r="L10" s="187"/>
      <c r="M10" s="188"/>
    </row>
    <row r="11" spans="3:14" x14ac:dyDescent="0.25">
      <c r="D11" s="119" t="s">
        <v>359</v>
      </c>
      <c r="E11" s="120"/>
      <c r="F11" s="120" t="s">
        <v>360</v>
      </c>
      <c r="G11" s="120" t="s">
        <v>361</v>
      </c>
      <c r="H11" s="120" t="s">
        <v>362</v>
      </c>
      <c r="I11" s="120"/>
      <c r="J11" s="189" t="s">
        <v>363</v>
      </c>
      <c r="K11" s="189"/>
      <c r="L11" s="189"/>
      <c r="M11" s="190"/>
    </row>
    <row r="13" spans="3:14" x14ac:dyDescent="0.25">
      <c r="D13" s="117" t="s">
        <v>364</v>
      </c>
      <c r="E13" s="118"/>
      <c r="F13" s="118" t="s">
        <v>365</v>
      </c>
      <c r="G13" s="118" t="s">
        <v>366</v>
      </c>
      <c r="H13" s="118"/>
      <c r="I13" s="118"/>
      <c r="J13" s="187" t="s">
        <v>367</v>
      </c>
      <c r="K13" s="187"/>
      <c r="L13" s="187"/>
      <c r="M13" s="188"/>
    </row>
    <row r="14" spans="3:14" x14ac:dyDescent="0.25">
      <c r="D14" s="119" t="s">
        <v>368</v>
      </c>
      <c r="E14" s="120"/>
      <c r="F14" s="120" t="s">
        <v>369</v>
      </c>
      <c r="G14" s="120" t="s">
        <v>370</v>
      </c>
      <c r="H14" s="120" t="s">
        <v>371</v>
      </c>
      <c r="I14" s="120"/>
      <c r="J14" s="189" t="s">
        <v>367</v>
      </c>
      <c r="K14" s="189"/>
      <c r="L14" s="189"/>
      <c r="M14" s="190"/>
    </row>
    <row r="16" spans="3:14" x14ac:dyDescent="0.25">
      <c r="D16" s="117" t="s">
        <v>372</v>
      </c>
      <c r="E16" s="118"/>
      <c r="F16" s="118" t="s">
        <v>373</v>
      </c>
      <c r="G16" s="118" t="s">
        <v>374</v>
      </c>
      <c r="H16" s="118"/>
      <c r="I16" s="118"/>
      <c r="J16" s="187" t="s">
        <v>367</v>
      </c>
      <c r="K16" s="187"/>
      <c r="L16" s="187"/>
      <c r="M16" s="188"/>
    </row>
    <row r="17" spans="4:13" x14ac:dyDescent="0.25">
      <c r="D17" s="119" t="s">
        <v>375</v>
      </c>
      <c r="E17" s="120"/>
      <c r="F17" s="120" t="s">
        <v>376</v>
      </c>
      <c r="G17" s="120" t="s">
        <v>377</v>
      </c>
      <c r="H17" s="120"/>
      <c r="I17" s="120"/>
      <c r="J17" s="189" t="s">
        <v>367</v>
      </c>
      <c r="K17" s="189"/>
      <c r="L17" s="189"/>
      <c r="M17" s="190"/>
    </row>
    <row r="19" spans="4:13" x14ac:dyDescent="0.25">
      <c r="D19" s="117" t="s">
        <v>378</v>
      </c>
      <c r="E19" s="118"/>
      <c r="F19" s="118" t="s">
        <v>379</v>
      </c>
      <c r="G19" s="118"/>
      <c r="H19" s="118"/>
      <c r="I19" s="118"/>
      <c r="J19" s="187" t="s">
        <v>367</v>
      </c>
      <c r="K19" s="187"/>
      <c r="L19" s="187"/>
      <c r="M19" s="188"/>
    </row>
    <row r="20" spans="4:13" x14ac:dyDescent="0.25">
      <c r="D20" s="119" t="s">
        <v>380</v>
      </c>
      <c r="E20" s="120"/>
      <c r="F20" s="120" t="s">
        <v>381</v>
      </c>
      <c r="G20" s="120"/>
      <c r="H20" s="120"/>
      <c r="I20" s="120"/>
      <c r="J20" s="189" t="s">
        <v>367</v>
      </c>
      <c r="K20" s="189"/>
      <c r="L20" s="189"/>
      <c r="M20" s="190"/>
    </row>
    <row r="22" spans="4:13" x14ac:dyDescent="0.25">
      <c r="D22" s="117" t="s">
        <v>382</v>
      </c>
      <c r="E22" s="118"/>
      <c r="F22" s="118" t="s">
        <v>383</v>
      </c>
      <c r="G22" s="118"/>
      <c r="H22" s="118"/>
      <c r="I22" s="118"/>
      <c r="J22" s="187" t="s">
        <v>367</v>
      </c>
      <c r="K22" s="187"/>
      <c r="L22" s="187"/>
      <c r="M22" s="188"/>
    </row>
    <row r="23" spans="4:13" x14ac:dyDescent="0.25">
      <c r="D23" s="119" t="s">
        <v>384</v>
      </c>
      <c r="E23" s="120"/>
      <c r="F23" s="120" t="s">
        <v>385</v>
      </c>
      <c r="G23" s="120"/>
      <c r="H23" s="120"/>
      <c r="I23" s="120"/>
      <c r="J23" s="189" t="s">
        <v>367</v>
      </c>
      <c r="K23" s="189"/>
      <c r="L23" s="189"/>
      <c r="M23" s="190"/>
    </row>
    <row r="25" spans="4:13" x14ac:dyDescent="0.25">
      <c r="D25" s="117" t="s">
        <v>386</v>
      </c>
      <c r="E25" s="118"/>
      <c r="F25" s="118" t="s">
        <v>387</v>
      </c>
      <c r="G25" s="118"/>
      <c r="H25" s="118"/>
      <c r="I25" s="118"/>
      <c r="J25" s="187" t="s">
        <v>367</v>
      </c>
      <c r="K25" s="187"/>
      <c r="L25" s="187"/>
      <c r="M25" s="188"/>
    </row>
    <row r="26" spans="4:13" x14ac:dyDescent="0.25">
      <c r="D26" s="119" t="s">
        <v>388</v>
      </c>
      <c r="E26" s="120"/>
      <c r="F26" s="120" t="s">
        <v>389</v>
      </c>
      <c r="G26" s="120"/>
      <c r="H26" s="120"/>
      <c r="I26" s="120"/>
      <c r="J26" s="189" t="s">
        <v>367</v>
      </c>
      <c r="K26" s="189"/>
      <c r="L26" s="189"/>
      <c r="M26" s="190"/>
    </row>
    <row r="28" spans="4:13" x14ac:dyDescent="0.25">
      <c r="D28" s="117" t="s">
        <v>390</v>
      </c>
      <c r="E28" s="118"/>
      <c r="F28" s="118" t="s">
        <v>391</v>
      </c>
      <c r="G28" s="118"/>
      <c r="H28" s="118"/>
      <c r="I28" s="118"/>
      <c r="J28" s="187" t="s">
        <v>367</v>
      </c>
      <c r="K28" s="187"/>
      <c r="L28" s="187"/>
      <c r="M28" s="188"/>
    </row>
    <row r="29" spans="4:13" x14ac:dyDescent="0.25">
      <c r="D29" s="119" t="s">
        <v>392</v>
      </c>
      <c r="E29" s="120"/>
      <c r="F29" s="120" t="s">
        <v>393</v>
      </c>
      <c r="G29" s="120" t="s">
        <v>394</v>
      </c>
      <c r="H29" s="120"/>
      <c r="I29" s="120"/>
      <c r="J29" s="189" t="s">
        <v>367</v>
      </c>
      <c r="K29" s="189"/>
      <c r="L29" s="189"/>
      <c r="M29" s="190"/>
    </row>
  </sheetData>
  <mergeCells count="18">
    <mergeCell ref="C3:N4"/>
    <mergeCell ref="F7:H8"/>
    <mergeCell ref="J7:M8"/>
    <mergeCell ref="J25:M25"/>
    <mergeCell ref="J26:M26"/>
    <mergeCell ref="J28:M28"/>
    <mergeCell ref="J29:M29"/>
    <mergeCell ref="D7:D8"/>
    <mergeCell ref="J17:M17"/>
    <mergeCell ref="J19:M19"/>
    <mergeCell ref="J20:M20"/>
    <mergeCell ref="J22:M22"/>
    <mergeCell ref="J23:M23"/>
    <mergeCell ref="J10:M10"/>
    <mergeCell ref="J11:M11"/>
    <mergeCell ref="J13:M13"/>
    <mergeCell ref="J14:M14"/>
    <mergeCell ref="J16:M16"/>
  </mergeCells>
  <phoneticPr fontId="1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Q90"/>
  <sheetViews>
    <sheetView workbookViewId="0">
      <selection activeCell="B2" sqref="B2:N3"/>
    </sheetView>
  </sheetViews>
  <sheetFormatPr defaultColWidth="9" defaultRowHeight="14" x14ac:dyDescent="0.25"/>
  <cols>
    <col min="1" max="1" width="14" style="4" customWidth="1"/>
    <col min="2" max="2" width="16.26953125" style="4" customWidth="1"/>
    <col min="3" max="6" width="11.81640625" style="4" customWidth="1"/>
    <col min="7" max="10" width="18.54296875" style="4" customWidth="1"/>
    <col min="11" max="11" width="16.26953125" style="4" customWidth="1"/>
    <col min="12" max="12" width="11.81640625" style="4" customWidth="1"/>
    <col min="13" max="14" width="16.26953125" style="4" customWidth="1"/>
    <col min="15" max="15" width="20.81640625" style="4" customWidth="1"/>
    <col min="16" max="16" width="11.81640625" style="4" customWidth="1"/>
    <col min="17" max="17" width="16.26953125" style="4" customWidth="1"/>
    <col min="18" max="16384" width="9" style="4"/>
  </cols>
  <sheetData>
    <row r="2" spans="2:14" x14ac:dyDescent="0.25">
      <c r="B2" s="180" t="s">
        <v>395</v>
      </c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</row>
    <row r="3" spans="2:14" x14ac:dyDescent="0.25">
      <c r="B3" s="180"/>
      <c r="C3" s="180"/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180"/>
    </row>
    <row r="4" spans="2:14" x14ac:dyDescent="0.25">
      <c r="B4" s="78" t="s">
        <v>396</v>
      </c>
      <c r="C4" s="79">
        <v>1</v>
      </c>
      <c r="D4" s="79">
        <v>2</v>
      </c>
      <c r="E4" s="79">
        <v>3</v>
      </c>
      <c r="F4" s="79">
        <v>4</v>
      </c>
      <c r="G4" s="79">
        <v>5</v>
      </c>
      <c r="H4" s="79">
        <v>6</v>
      </c>
      <c r="I4" s="79">
        <v>7</v>
      </c>
      <c r="J4" s="79">
        <v>8</v>
      </c>
      <c r="K4" s="79">
        <v>9</v>
      </c>
      <c r="L4" s="79">
        <v>10</v>
      </c>
      <c r="M4" s="79">
        <v>11</v>
      </c>
      <c r="N4" s="80">
        <v>12</v>
      </c>
    </row>
    <row r="5" spans="2:14" x14ac:dyDescent="0.25">
      <c r="B5" s="81" t="s">
        <v>397</v>
      </c>
      <c r="C5" s="82" t="s">
        <v>398</v>
      </c>
      <c r="D5" s="82" t="s">
        <v>398</v>
      </c>
      <c r="E5" s="82" t="s">
        <v>398</v>
      </c>
      <c r="F5" s="82" t="s">
        <v>398</v>
      </c>
      <c r="G5" s="82" t="s">
        <v>398</v>
      </c>
      <c r="H5" s="82" t="s">
        <v>398</v>
      </c>
      <c r="I5" s="82" t="s">
        <v>398</v>
      </c>
      <c r="J5" s="82" t="s">
        <v>398</v>
      </c>
      <c r="K5" s="83">
        <f t="shared" ref="K5:N5" si="0">ROUNDUP(K11/4,0)</f>
        <v>40</v>
      </c>
      <c r="L5" s="83">
        <f t="shared" si="0"/>
        <v>120</v>
      </c>
      <c r="M5" s="83">
        <f t="shared" si="0"/>
        <v>200</v>
      </c>
      <c r="N5" s="84">
        <f t="shared" si="0"/>
        <v>440</v>
      </c>
    </row>
    <row r="6" spans="2:14" x14ac:dyDescent="0.25">
      <c r="B6" s="85" t="s">
        <v>399</v>
      </c>
      <c r="C6" s="9">
        <f>C18/10</f>
        <v>1</v>
      </c>
      <c r="D6" s="9">
        <f t="shared" ref="D6:J6" si="1">D12/10</f>
        <v>3</v>
      </c>
      <c r="E6" s="9">
        <f t="shared" si="1"/>
        <v>5</v>
      </c>
      <c r="F6" s="9">
        <f t="shared" si="1"/>
        <v>11</v>
      </c>
      <c r="G6" s="9">
        <f t="shared" si="1"/>
        <v>21</v>
      </c>
      <c r="H6" s="9">
        <f t="shared" si="1"/>
        <v>43</v>
      </c>
      <c r="I6" s="9">
        <f t="shared" si="1"/>
        <v>85</v>
      </c>
      <c r="J6" s="9">
        <f t="shared" si="1"/>
        <v>171</v>
      </c>
      <c r="K6" s="86" t="s">
        <v>398</v>
      </c>
      <c r="L6" s="86" t="s">
        <v>398</v>
      </c>
      <c r="M6" s="86" t="s">
        <v>398</v>
      </c>
      <c r="N6" s="87" t="s">
        <v>398</v>
      </c>
    </row>
    <row r="7" spans="2:14" x14ac:dyDescent="0.25">
      <c r="B7" s="78" t="s">
        <v>400</v>
      </c>
      <c r="C7" s="79">
        <f>C19/10</f>
        <v>50</v>
      </c>
      <c r="D7" s="79">
        <f t="shared" ref="D7:J7" si="2">D13/10</f>
        <v>150</v>
      </c>
      <c r="E7" s="79">
        <f t="shared" si="2"/>
        <v>300</v>
      </c>
      <c r="F7" s="79">
        <f t="shared" si="2"/>
        <v>500</v>
      </c>
      <c r="G7" s="79">
        <f t="shared" si="2"/>
        <v>1000</v>
      </c>
      <c r="H7" s="79">
        <f t="shared" si="2"/>
        <v>2000</v>
      </c>
      <c r="I7" s="79">
        <f t="shared" si="2"/>
        <v>3000</v>
      </c>
      <c r="J7" s="79">
        <f t="shared" si="2"/>
        <v>5000</v>
      </c>
      <c r="K7" s="79">
        <f>ROUNDDOWN(K13/600,0)*100</f>
        <v>10000</v>
      </c>
      <c r="L7" s="79">
        <f t="shared" ref="L7:N7" si="3">ROUNDDOWN(L13/6000,0)*1000</f>
        <v>11000</v>
      </c>
      <c r="M7" s="79">
        <f t="shared" si="3"/>
        <v>13000</v>
      </c>
      <c r="N7" s="80">
        <f t="shared" si="3"/>
        <v>15000</v>
      </c>
    </row>
    <row r="8" spans="2:14" x14ac:dyDescent="0.25">
      <c r="B8" s="81" t="s">
        <v>401</v>
      </c>
      <c r="C8" s="82" t="s">
        <v>398</v>
      </c>
      <c r="D8" s="82" t="s">
        <v>398</v>
      </c>
      <c r="E8" s="82" t="s">
        <v>398</v>
      </c>
      <c r="F8" s="82" t="s">
        <v>398</v>
      </c>
      <c r="G8" s="82" t="s">
        <v>398</v>
      </c>
      <c r="H8" s="82" t="s">
        <v>398</v>
      </c>
      <c r="I8" s="82" t="s">
        <v>398</v>
      </c>
      <c r="J8" s="82" t="s">
        <v>398</v>
      </c>
      <c r="K8" s="88">
        <v>32</v>
      </c>
      <c r="L8" s="88">
        <v>64</v>
      </c>
      <c r="M8" s="88">
        <v>128</v>
      </c>
      <c r="N8" s="89">
        <v>256</v>
      </c>
    </row>
    <row r="9" spans="2:14" x14ac:dyDescent="0.25">
      <c r="B9" s="85" t="s">
        <v>402</v>
      </c>
      <c r="C9" s="90">
        <v>2</v>
      </c>
      <c r="D9" s="90">
        <v>4</v>
      </c>
      <c r="E9" s="90">
        <v>8</v>
      </c>
      <c r="F9" s="90">
        <v>16</v>
      </c>
      <c r="G9" s="90">
        <v>32</v>
      </c>
      <c r="H9" s="90">
        <v>64</v>
      </c>
      <c r="I9" s="90">
        <v>128</v>
      </c>
      <c r="J9" s="90">
        <v>256</v>
      </c>
      <c r="K9" s="86" t="s">
        <v>398</v>
      </c>
      <c r="L9" s="86" t="s">
        <v>398</v>
      </c>
      <c r="M9" s="86" t="s">
        <v>398</v>
      </c>
      <c r="N9" s="87" t="s">
        <v>398</v>
      </c>
    </row>
    <row r="10" spans="2:14" x14ac:dyDescent="0.25">
      <c r="B10" s="78" t="s">
        <v>403</v>
      </c>
      <c r="C10" s="79">
        <f t="shared" ref="C10:J10" si="4">ROUNDUP(C9/0.75,0)</f>
        <v>3</v>
      </c>
      <c r="D10" s="79">
        <f t="shared" si="4"/>
        <v>6</v>
      </c>
      <c r="E10" s="79">
        <f t="shared" si="4"/>
        <v>11</v>
      </c>
      <c r="F10" s="79">
        <f t="shared" si="4"/>
        <v>22</v>
      </c>
      <c r="G10" s="79">
        <f t="shared" si="4"/>
        <v>43</v>
      </c>
      <c r="H10" s="79">
        <f t="shared" si="4"/>
        <v>86</v>
      </c>
      <c r="I10" s="79">
        <f t="shared" si="4"/>
        <v>171</v>
      </c>
      <c r="J10" s="79">
        <f t="shared" si="4"/>
        <v>342</v>
      </c>
      <c r="K10" s="79">
        <f t="shared" ref="K10:N10" si="5">ROUNDUP(K8/0.75,0)</f>
        <v>43</v>
      </c>
      <c r="L10" s="79">
        <f t="shared" si="5"/>
        <v>86</v>
      </c>
      <c r="M10" s="79">
        <f t="shared" si="5"/>
        <v>171</v>
      </c>
      <c r="N10" s="80">
        <f t="shared" si="5"/>
        <v>342</v>
      </c>
    </row>
    <row r="11" spans="2:14" x14ac:dyDescent="0.25">
      <c r="B11" s="81" t="s">
        <v>404</v>
      </c>
      <c r="C11" s="82" t="s">
        <v>398</v>
      </c>
      <c r="D11" s="82" t="s">
        <v>398</v>
      </c>
      <c r="E11" s="82" t="s">
        <v>398</v>
      </c>
      <c r="F11" s="82" t="s">
        <v>398</v>
      </c>
      <c r="G11" s="82" t="s">
        <v>398</v>
      </c>
      <c r="H11" s="82" t="s">
        <v>398</v>
      </c>
      <c r="I11" s="82" t="s">
        <v>398</v>
      </c>
      <c r="J11" s="82" t="s">
        <v>398</v>
      </c>
      <c r="K11" s="83">
        <f>K8*5</f>
        <v>160</v>
      </c>
      <c r="L11" s="83">
        <f t="shared" ref="L11:N11" si="6">L8*10-K11</f>
        <v>480</v>
      </c>
      <c r="M11" s="83">
        <f t="shared" si="6"/>
        <v>800</v>
      </c>
      <c r="N11" s="84">
        <f t="shared" si="6"/>
        <v>1760</v>
      </c>
    </row>
    <row r="12" spans="2:14" x14ac:dyDescent="0.25">
      <c r="B12" s="85" t="s">
        <v>405</v>
      </c>
      <c r="C12" s="86" t="s">
        <v>398</v>
      </c>
      <c r="D12" s="9">
        <f>D9*10-C15</f>
        <v>30</v>
      </c>
      <c r="E12" s="9">
        <f t="shared" ref="E12:J12" si="7">E9*10-D12</f>
        <v>50</v>
      </c>
      <c r="F12" s="9">
        <f t="shared" si="7"/>
        <v>110</v>
      </c>
      <c r="G12" s="9">
        <f t="shared" si="7"/>
        <v>210</v>
      </c>
      <c r="H12" s="9">
        <f t="shared" si="7"/>
        <v>430</v>
      </c>
      <c r="I12" s="9">
        <f t="shared" si="7"/>
        <v>850</v>
      </c>
      <c r="J12" s="9">
        <f t="shared" si="7"/>
        <v>1710</v>
      </c>
      <c r="K12" s="86" t="s">
        <v>398</v>
      </c>
      <c r="L12" s="86" t="s">
        <v>398</v>
      </c>
      <c r="M12" s="86" t="s">
        <v>398</v>
      </c>
      <c r="N12" s="87" t="s">
        <v>398</v>
      </c>
    </row>
    <row r="13" spans="2:14" x14ac:dyDescent="0.25">
      <c r="B13" s="78" t="s">
        <v>406</v>
      </c>
      <c r="C13" s="91" t="s">
        <v>398</v>
      </c>
      <c r="D13" s="92">
        <v>1500</v>
      </c>
      <c r="E13" s="92">
        <v>3000</v>
      </c>
      <c r="F13" s="92">
        <v>5000</v>
      </c>
      <c r="G13" s="92">
        <v>10000</v>
      </c>
      <c r="H13" s="92">
        <v>20000</v>
      </c>
      <c r="I13" s="92">
        <v>30000</v>
      </c>
      <c r="J13" s="92">
        <v>50000</v>
      </c>
      <c r="K13" s="92">
        <v>60000</v>
      </c>
      <c r="L13" s="92">
        <v>70000</v>
      </c>
      <c r="M13" s="92">
        <v>80000</v>
      </c>
      <c r="N13" s="93">
        <v>90000</v>
      </c>
    </row>
    <row r="14" spans="2:14" x14ac:dyDescent="0.25">
      <c r="B14" s="81" t="s">
        <v>407</v>
      </c>
      <c r="C14" s="82" t="s">
        <v>398</v>
      </c>
      <c r="D14" s="82" t="s">
        <v>398</v>
      </c>
      <c r="E14" s="82" t="s">
        <v>398</v>
      </c>
      <c r="F14" s="82" t="s">
        <v>398</v>
      </c>
      <c r="G14" s="82" t="s">
        <v>398</v>
      </c>
      <c r="H14" s="82" t="s">
        <v>398</v>
      </c>
      <c r="I14" s="82" t="s">
        <v>398</v>
      </c>
      <c r="J14" s="82" t="s">
        <v>398</v>
      </c>
      <c r="K14" s="83">
        <f t="shared" ref="K14:N14" si="8">K17</f>
        <v>160</v>
      </c>
      <c r="L14" s="83">
        <f t="shared" si="8"/>
        <v>640</v>
      </c>
      <c r="M14" s="83">
        <f t="shared" si="8"/>
        <v>1440</v>
      </c>
      <c r="N14" s="84">
        <f t="shared" si="8"/>
        <v>3200</v>
      </c>
    </row>
    <row r="15" spans="2:14" x14ac:dyDescent="0.25">
      <c r="B15" s="85" t="s">
        <v>408</v>
      </c>
      <c r="C15" s="9">
        <f>C9*5</f>
        <v>10</v>
      </c>
      <c r="D15" s="9">
        <f t="shared" ref="D15:J15" si="9">C18+D12</f>
        <v>40</v>
      </c>
      <c r="E15" s="9">
        <f t="shared" si="9"/>
        <v>90</v>
      </c>
      <c r="F15" s="9">
        <f t="shared" si="9"/>
        <v>200</v>
      </c>
      <c r="G15" s="9">
        <f t="shared" si="9"/>
        <v>410</v>
      </c>
      <c r="H15" s="9">
        <f t="shared" si="9"/>
        <v>840</v>
      </c>
      <c r="I15" s="9">
        <f t="shared" si="9"/>
        <v>1690</v>
      </c>
      <c r="J15" s="9">
        <f t="shared" si="9"/>
        <v>3400</v>
      </c>
      <c r="K15" s="9">
        <f t="shared" ref="K15:N15" si="10">J15</f>
        <v>3400</v>
      </c>
      <c r="L15" s="9">
        <f t="shared" si="10"/>
        <v>3400</v>
      </c>
      <c r="M15" s="9">
        <f t="shared" si="10"/>
        <v>3400</v>
      </c>
      <c r="N15" s="94">
        <f t="shared" si="10"/>
        <v>3400</v>
      </c>
    </row>
    <row r="16" spans="2:14" x14ac:dyDescent="0.25">
      <c r="B16" s="78" t="s">
        <v>409</v>
      </c>
      <c r="C16" s="92">
        <v>500</v>
      </c>
      <c r="D16" s="79">
        <f t="shared" ref="D16:N16" si="11">C19+D13</f>
        <v>2000</v>
      </c>
      <c r="E16" s="79">
        <f t="shared" si="11"/>
        <v>5000</v>
      </c>
      <c r="F16" s="79">
        <f t="shared" si="11"/>
        <v>10000</v>
      </c>
      <c r="G16" s="79">
        <f t="shared" si="11"/>
        <v>20000</v>
      </c>
      <c r="H16" s="79">
        <f t="shared" si="11"/>
        <v>40000</v>
      </c>
      <c r="I16" s="79">
        <f t="shared" si="11"/>
        <v>70000</v>
      </c>
      <c r="J16" s="79">
        <f t="shared" si="11"/>
        <v>120000</v>
      </c>
      <c r="K16" s="79">
        <f t="shared" si="11"/>
        <v>180000</v>
      </c>
      <c r="L16" s="79">
        <f t="shared" si="11"/>
        <v>250000</v>
      </c>
      <c r="M16" s="79">
        <f t="shared" si="11"/>
        <v>330000</v>
      </c>
      <c r="N16" s="80">
        <f t="shared" si="11"/>
        <v>420000</v>
      </c>
    </row>
    <row r="17" spans="2:17" x14ac:dyDescent="0.25">
      <c r="B17" s="81" t="s">
        <v>410</v>
      </c>
      <c r="C17" s="82" t="s">
        <v>398</v>
      </c>
      <c r="D17" s="82" t="s">
        <v>398</v>
      </c>
      <c r="E17" s="82" t="s">
        <v>398</v>
      </c>
      <c r="F17" s="82" t="s">
        <v>398</v>
      </c>
      <c r="G17" s="82" t="s">
        <v>398</v>
      </c>
      <c r="H17" s="82" t="s">
        <v>398</v>
      </c>
      <c r="I17" s="82" t="s">
        <v>398</v>
      </c>
      <c r="J17" s="82" t="s">
        <v>398</v>
      </c>
      <c r="K17" s="83">
        <f>K11</f>
        <v>160</v>
      </c>
      <c r="L17" s="83">
        <f t="shared" ref="L17:N17" si="12">K17+L11</f>
        <v>640</v>
      </c>
      <c r="M17" s="83">
        <f t="shared" si="12"/>
        <v>1440</v>
      </c>
      <c r="N17" s="84">
        <f t="shared" si="12"/>
        <v>3200</v>
      </c>
    </row>
    <row r="18" spans="2:17" x14ac:dyDescent="0.25">
      <c r="B18" s="85" t="s">
        <v>411</v>
      </c>
      <c r="C18" s="9">
        <f>C15</f>
        <v>10</v>
      </c>
      <c r="D18" s="9">
        <f t="shared" ref="D18:J18" si="13">C18+D12</f>
        <v>40</v>
      </c>
      <c r="E18" s="9">
        <f t="shared" si="13"/>
        <v>90</v>
      </c>
      <c r="F18" s="9">
        <f t="shared" si="13"/>
        <v>200</v>
      </c>
      <c r="G18" s="9">
        <f t="shared" si="13"/>
        <v>410</v>
      </c>
      <c r="H18" s="9">
        <f t="shared" si="13"/>
        <v>840</v>
      </c>
      <c r="I18" s="9">
        <f t="shared" si="13"/>
        <v>1690</v>
      </c>
      <c r="J18" s="9">
        <f t="shared" si="13"/>
        <v>3400</v>
      </c>
      <c r="K18" s="86" t="s">
        <v>398</v>
      </c>
      <c r="L18" s="86" t="s">
        <v>398</v>
      </c>
      <c r="M18" s="86" t="s">
        <v>398</v>
      </c>
      <c r="N18" s="87" t="s">
        <v>398</v>
      </c>
    </row>
    <row r="19" spans="2:17" x14ac:dyDescent="0.25">
      <c r="B19" s="78" t="s">
        <v>412</v>
      </c>
      <c r="C19" s="79">
        <f>C16</f>
        <v>500</v>
      </c>
      <c r="D19" s="79">
        <f t="shared" ref="D19:N19" si="14">C19+D13</f>
        <v>2000</v>
      </c>
      <c r="E19" s="79">
        <f t="shared" si="14"/>
        <v>5000</v>
      </c>
      <c r="F19" s="79">
        <f t="shared" si="14"/>
        <v>10000</v>
      </c>
      <c r="G19" s="79">
        <f t="shared" si="14"/>
        <v>20000</v>
      </c>
      <c r="H19" s="79">
        <f t="shared" si="14"/>
        <v>40000</v>
      </c>
      <c r="I19" s="79">
        <f t="shared" si="14"/>
        <v>70000</v>
      </c>
      <c r="J19" s="79">
        <f t="shared" si="14"/>
        <v>120000</v>
      </c>
      <c r="K19" s="79">
        <f t="shared" si="14"/>
        <v>180000</v>
      </c>
      <c r="L19" s="79">
        <f t="shared" si="14"/>
        <v>250000</v>
      </c>
      <c r="M19" s="79">
        <f t="shared" si="14"/>
        <v>330000</v>
      </c>
      <c r="N19" s="80">
        <f t="shared" si="14"/>
        <v>420000</v>
      </c>
    </row>
    <row r="23" spans="2:17" x14ac:dyDescent="0.25">
      <c r="B23" s="180" t="s">
        <v>413</v>
      </c>
      <c r="C23" s="180"/>
      <c r="D23" s="180"/>
      <c r="F23" s="180" t="s">
        <v>414</v>
      </c>
      <c r="G23" s="180"/>
      <c r="H23" s="180"/>
      <c r="I23" s="180"/>
      <c r="J23" s="180"/>
      <c r="K23" s="180"/>
      <c r="L23" s="180"/>
      <c r="M23" s="180"/>
      <c r="N23" s="180"/>
      <c r="O23" s="180"/>
    </row>
    <row r="24" spans="2:17" x14ac:dyDescent="0.25">
      <c r="B24" s="180"/>
      <c r="C24" s="180"/>
      <c r="D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</row>
    <row r="25" spans="2:17" x14ac:dyDescent="0.25">
      <c r="B25" s="46" t="s">
        <v>415</v>
      </c>
      <c r="C25" s="46" t="s">
        <v>416</v>
      </c>
      <c r="D25" s="95"/>
      <c r="F25" s="96"/>
      <c r="G25" s="97" t="s">
        <v>417</v>
      </c>
      <c r="H25" s="97" t="s">
        <v>418</v>
      </c>
      <c r="I25" s="97" t="s">
        <v>419</v>
      </c>
      <c r="J25" s="98" t="s">
        <v>420</v>
      </c>
      <c r="K25" s="99" t="s">
        <v>421</v>
      </c>
      <c r="L25" s="100" t="s">
        <v>422</v>
      </c>
      <c r="M25" s="101" t="s">
        <v>423</v>
      </c>
      <c r="N25" s="97" t="s">
        <v>424</v>
      </c>
      <c r="O25" s="97" t="s">
        <v>425</v>
      </c>
    </row>
    <row r="26" spans="2:17" x14ac:dyDescent="0.25">
      <c r="B26" s="46" t="s">
        <v>426</v>
      </c>
      <c r="C26" s="46" t="s">
        <v>427</v>
      </c>
      <c r="D26" s="102"/>
      <c r="F26" s="103" t="s">
        <v>428</v>
      </c>
      <c r="G26" s="53" t="s">
        <v>429</v>
      </c>
      <c r="H26" s="53" t="s">
        <v>429</v>
      </c>
      <c r="I26" s="53" t="s">
        <v>429</v>
      </c>
      <c r="J26" s="53" t="s">
        <v>430</v>
      </c>
      <c r="K26" s="53" t="s">
        <v>430</v>
      </c>
      <c r="L26" s="53" t="s">
        <v>430</v>
      </c>
      <c r="M26" s="53" t="s">
        <v>430</v>
      </c>
      <c r="N26" s="53" t="s">
        <v>431</v>
      </c>
      <c r="O26" s="53" t="s">
        <v>210</v>
      </c>
    </row>
    <row r="27" spans="2:17" x14ac:dyDescent="0.25">
      <c r="B27" s="46" t="s">
        <v>432</v>
      </c>
      <c r="C27" s="46" t="s">
        <v>433</v>
      </c>
      <c r="D27" s="33"/>
      <c r="F27" s="103" t="s">
        <v>434</v>
      </c>
      <c r="G27" s="53">
        <v>70</v>
      </c>
      <c r="H27" s="53">
        <v>70</v>
      </c>
      <c r="I27" s="53">
        <v>70</v>
      </c>
      <c r="J27" s="53" t="s">
        <v>430</v>
      </c>
      <c r="K27" s="53" t="s">
        <v>430</v>
      </c>
      <c r="L27" s="53" t="s">
        <v>430</v>
      </c>
      <c r="M27" s="53" t="s">
        <v>430</v>
      </c>
      <c r="N27" s="53" t="s">
        <v>435</v>
      </c>
      <c r="O27" s="53" t="s">
        <v>436</v>
      </c>
    </row>
    <row r="28" spans="2:17" x14ac:dyDescent="0.25">
      <c r="B28" s="46" t="s">
        <v>437</v>
      </c>
      <c r="C28" s="46" t="s">
        <v>438</v>
      </c>
      <c r="D28" s="43"/>
      <c r="F28" s="103">
        <v>762</v>
      </c>
      <c r="G28" s="53" t="s">
        <v>210</v>
      </c>
      <c r="H28" s="53" t="s">
        <v>210</v>
      </c>
      <c r="I28" s="53" t="s">
        <v>210</v>
      </c>
      <c r="J28" s="53" t="s">
        <v>430</v>
      </c>
      <c r="K28" s="53" t="s">
        <v>430</v>
      </c>
      <c r="L28" s="53" t="s">
        <v>430</v>
      </c>
      <c r="M28" s="53" t="s">
        <v>430</v>
      </c>
      <c r="N28" s="53" t="s">
        <v>439</v>
      </c>
      <c r="O28" s="53" t="s">
        <v>440</v>
      </c>
    </row>
    <row r="29" spans="2:17" x14ac:dyDescent="0.25">
      <c r="B29" s="46" t="s">
        <v>441</v>
      </c>
      <c r="C29" s="46" t="s">
        <v>442</v>
      </c>
      <c r="D29" s="34"/>
      <c r="F29" s="103" t="s">
        <v>443</v>
      </c>
      <c r="G29" s="53" t="s">
        <v>73</v>
      </c>
      <c r="H29" s="53" t="s">
        <v>73</v>
      </c>
      <c r="I29" s="53" t="s">
        <v>73</v>
      </c>
      <c r="J29" s="53" t="s">
        <v>430</v>
      </c>
      <c r="K29" s="53" t="s">
        <v>430</v>
      </c>
      <c r="L29" s="53" t="s">
        <v>430</v>
      </c>
      <c r="M29" s="53" t="s">
        <v>430</v>
      </c>
      <c r="N29" s="53" t="s">
        <v>74</v>
      </c>
      <c r="O29" s="53" t="s">
        <v>75</v>
      </c>
    </row>
    <row r="30" spans="2:17" x14ac:dyDescent="0.25">
      <c r="B30" s="46" t="s">
        <v>444</v>
      </c>
      <c r="C30" s="46" t="s">
        <v>445</v>
      </c>
      <c r="D30" s="44"/>
      <c r="F30" s="48"/>
      <c r="G30" s="5"/>
      <c r="H30" s="5"/>
      <c r="I30" s="5"/>
      <c r="J30" s="53" t="s">
        <v>446</v>
      </c>
      <c r="K30" s="53" t="s">
        <v>447</v>
      </c>
      <c r="L30" s="53" t="s">
        <v>448</v>
      </c>
      <c r="M30" s="53" t="s">
        <v>449</v>
      </c>
    </row>
    <row r="31" spans="2:17" x14ac:dyDescent="0.25">
      <c r="B31" s="46" t="s">
        <v>450</v>
      </c>
      <c r="C31" s="46" t="s">
        <v>451</v>
      </c>
      <c r="D31" s="35"/>
      <c r="F31" s="104"/>
      <c r="G31" s="105" t="s">
        <v>452</v>
      </c>
      <c r="H31" s="105" t="s">
        <v>453</v>
      </c>
      <c r="I31" s="105"/>
      <c r="J31" s="106" t="s">
        <v>454</v>
      </c>
      <c r="K31" s="107" t="s">
        <v>455</v>
      </c>
      <c r="L31" s="108" t="s">
        <v>456</v>
      </c>
      <c r="M31" s="109" t="s">
        <v>457</v>
      </c>
      <c r="N31" s="105" t="s">
        <v>458</v>
      </c>
      <c r="O31" s="105" t="s">
        <v>459</v>
      </c>
      <c r="P31" s="105" t="s">
        <v>460</v>
      </c>
      <c r="Q31" s="105" t="s">
        <v>461</v>
      </c>
    </row>
    <row r="32" spans="2:17" x14ac:dyDescent="0.25">
      <c r="B32" s="46" t="s">
        <v>462</v>
      </c>
      <c r="C32" s="46" t="s">
        <v>463</v>
      </c>
      <c r="D32" s="45"/>
      <c r="F32" s="103" t="s">
        <v>464</v>
      </c>
      <c r="G32" s="53" t="s">
        <v>429</v>
      </c>
      <c r="H32" s="53" t="s">
        <v>429</v>
      </c>
      <c r="I32" s="53"/>
      <c r="J32" s="53" t="s">
        <v>210</v>
      </c>
      <c r="K32" s="220" t="s">
        <v>1105</v>
      </c>
      <c r="L32" s="53" t="s">
        <v>465</v>
      </c>
      <c r="M32" s="53" t="s">
        <v>465</v>
      </c>
      <c r="N32" s="53" t="s">
        <v>439</v>
      </c>
      <c r="O32" s="53" t="s">
        <v>440</v>
      </c>
      <c r="P32" s="220" t="s">
        <v>1106</v>
      </c>
      <c r="Q32" s="220" t="s">
        <v>1104</v>
      </c>
    </row>
    <row r="33" spans="2:17" x14ac:dyDescent="0.25">
      <c r="B33" s="46" t="s">
        <v>467</v>
      </c>
      <c r="C33" s="46" t="s">
        <v>468</v>
      </c>
      <c r="D33" s="36"/>
      <c r="F33" s="103" t="s">
        <v>469</v>
      </c>
      <c r="G33" s="53">
        <v>50</v>
      </c>
      <c r="H33" s="53">
        <v>50</v>
      </c>
      <c r="I33" s="53"/>
      <c r="J33" s="53" t="s">
        <v>440</v>
      </c>
      <c r="K33" s="220" t="s">
        <v>1105</v>
      </c>
      <c r="L33" s="53" t="s">
        <v>465</v>
      </c>
      <c r="M33" s="53" t="s">
        <v>465</v>
      </c>
      <c r="N33" s="53" t="s">
        <v>435</v>
      </c>
      <c r="O33" s="53" t="s">
        <v>436</v>
      </c>
      <c r="P33" s="220" t="s">
        <v>1106</v>
      </c>
      <c r="Q33" s="220" t="s">
        <v>1104</v>
      </c>
    </row>
    <row r="34" spans="2:17" x14ac:dyDescent="0.25">
      <c r="B34" s="46" t="s">
        <v>470</v>
      </c>
      <c r="C34" s="46" t="s">
        <v>471</v>
      </c>
      <c r="D34" s="40"/>
      <c r="F34" s="48"/>
      <c r="G34" s="5"/>
      <c r="H34" s="5"/>
      <c r="I34" s="5"/>
      <c r="J34" s="5"/>
      <c r="K34" s="5"/>
      <c r="L34" s="5"/>
      <c r="M34" s="5"/>
    </row>
    <row r="35" spans="2:17" x14ac:dyDescent="0.25">
      <c r="B35" s="46" t="s">
        <v>472</v>
      </c>
      <c r="C35" s="46" t="s">
        <v>473</v>
      </c>
      <c r="D35" s="37"/>
      <c r="F35" s="104"/>
      <c r="G35" s="105" t="s">
        <v>417</v>
      </c>
      <c r="H35" s="105" t="s">
        <v>474</v>
      </c>
      <c r="I35" s="105" t="s">
        <v>419</v>
      </c>
      <c r="J35" s="105" t="s">
        <v>475</v>
      </c>
      <c r="K35" s="105" t="s">
        <v>476</v>
      </c>
      <c r="L35" s="105" t="s">
        <v>477</v>
      </c>
      <c r="M35" s="105" t="s">
        <v>478</v>
      </c>
      <c r="N35" s="105" t="s">
        <v>479</v>
      </c>
      <c r="O35" s="105" t="s">
        <v>480</v>
      </c>
    </row>
    <row r="36" spans="2:17" x14ac:dyDescent="0.25">
      <c r="B36" s="46" t="s">
        <v>481</v>
      </c>
      <c r="C36" s="46" t="s">
        <v>482</v>
      </c>
      <c r="D36" s="41"/>
      <c r="F36" s="103" t="s">
        <v>483</v>
      </c>
      <c r="G36" s="53" t="s">
        <v>429</v>
      </c>
      <c r="H36" s="53" t="s">
        <v>68</v>
      </c>
      <c r="I36" s="53">
        <v>30</v>
      </c>
      <c r="J36" s="53" t="s">
        <v>429</v>
      </c>
      <c r="K36" s="53">
        <v>30</v>
      </c>
      <c r="L36" s="53">
        <v>7.5</v>
      </c>
      <c r="M36" s="53">
        <v>45</v>
      </c>
      <c r="N36" s="53">
        <v>10</v>
      </c>
      <c r="O36" s="53">
        <v>60</v>
      </c>
    </row>
    <row r="37" spans="2:17" x14ac:dyDescent="0.25">
      <c r="B37" s="46" t="s">
        <v>484</v>
      </c>
      <c r="C37" s="46" t="s">
        <v>485</v>
      </c>
      <c r="D37" s="110"/>
      <c r="F37" s="48"/>
      <c r="G37" s="5"/>
      <c r="H37" s="5"/>
      <c r="I37" s="5"/>
      <c r="J37" s="5"/>
      <c r="K37" s="5"/>
      <c r="L37" s="5"/>
      <c r="M37" s="5"/>
    </row>
    <row r="38" spans="2:17" x14ac:dyDescent="0.25">
      <c r="F38" s="104"/>
      <c r="G38" s="105" t="s">
        <v>486</v>
      </c>
      <c r="H38" s="105" t="s">
        <v>487</v>
      </c>
      <c r="I38" s="105" t="s">
        <v>488</v>
      </c>
      <c r="J38" s="105" t="s">
        <v>489</v>
      </c>
      <c r="K38" s="105" t="s">
        <v>490</v>
      </c>
      <c r="L38" s="105" t="s">
        <v>491</v>
      </c>
      <c r="M38" s="105" t="s">
        <v>492</v>
      </c>
      <c r="N38" s="105" t="s">
        <v>493</v>
      </c>
      <c r="O38" s="105" t="s">
        <v>494</v>
      </c>
    </row>
    <row r="39" spans="2:17" x14ac:dyDescent="0.25">
      <c r="B39" s="46" t="s">
        <v>495</v>
      </c>
      <c r="C39" s="46" t="s">
        <v>496</v>
      </c>
      <c r="D39" s="111"/>
      <c r="F39" s="103" t="s">
        <v>486</v>
      </c>
      <c r="G39" s="220" t="s">
        <v>1111</v>
      </c>
      <c r="H39" s="220" t="s">
        <v>1115</v>
      </c>
      <c r="I39" s="220" t="s">
        <v>1109</v>
      </c>
      <c r="J39" s="220" t="s">
        <v>1112</v>
      </c>
      <c r="K39" s="220" t="s">
        <v>1114</v>
      </c>
      <c r="L39" s="220" t="s">
        <v>1110</v>
      </c>
      <c r="M39" s="220" t="s">
        <v>1107</v>
      </c>
      <c r="N39" s="220" t="s">
        <v>1113</v>
      </c>
      <c r="O39" s="220" t="s">
        <v>1108</v>
      </c>
    </row>
    <row r="40" spans="2:17" x14ac:dyDescent="0.25">
      <c r="G40" s="114"/>
      <c r="H40" s="114"/>
      <c r="I40" s="114"/>
      <c r="J40" s="114"/>
      <c r="K40" s="114"/>
      <c r="L40" s="114"/>
      <c r="M40" s="114"/>
      <c r="N40" s="114"/>
      <c r="O40" s="114"/>
    </row>
    <row r="43" spans="2:17" x14ac:dyDescent="0.25">
      <c r="B43" s="180" t="s">
        <v>497</v>
      </c>
      <c r="C43" s="180"/>
      <c r="D43" s="180"/>
      <c r="E43" s="180"/>
      <c r="F43" s="180"/>
      <c r="G43" s="180"/>
      <c r="H43" s="180"/>
      <c r="I43" s="180"/>
      <c r="J43" s="180"/>
      <c r="K43" s="180"/>
      <c r="L43" s="180"/>
      <c r="M43" s="180"/>
      <c r="N43" s="180"/>
      <c r="O43" s="180"/>
      <c r="P43" s="180"/>
    </row>
    <row r="44" spans="2:17" x14ac:dyDescent="0.25">
      <c r="B44" s="180"/>
      <c r="C44" s="180"/>
      <c r="D44" s="180"/>
      <c r="E44" s="180"/>
      <c r="F44" s="180"/>
      <c r="G44" s="180"/>
      <c r="H44" s="180"/>
      <c r="I44" s="180"/>
      <c r="J44" s="180"/>
      <c r="K44" s="180"/>
      <c r="L44" s="180"/>
      <c r="M44" s="180"/>
      <c r="N44" s="180"/>
      <c r="O44" s="180"/>
      <c r="P44" s="180"/>
    </row>
    <row r="45" spans="2:17" x14ac:dyDescent="0.25">
      <c r="B45" s="112" t="s">
        <v>498</v>
      </c>
      <c r="C45" s="112"/>
      <c r="D45" s="112" t="s">
        <v>499</v>
      </c>
      <c r="E45" s="112" t="s">
        <v>500</v>
      </c>
      <c r="F45" s="112" t="s">
        <v>501</v>
      </c>
      <c r="G45" s="112" t="s">
        <v>502</v>
      </c>
      <c r="H45" s="112" t="s">
        <v>503</v>
      </c>
      <c r="I45" s="112" t="s">
        <v>504</v>
      </c>
      <c r="J45" s="112" t="s">
        <v>505</v>
      </c>
      <c r="K45" s="112" t="s">
        <v>506</v>
      </c>
      <c r="L45" s="112" t="s">
        <v>507</v>
      </c>
      <c r="M45" s="112" t="s">
        <v>508</v>
      </c>
      <c r="N45" s="112" t="s">
        <v>509</v>
      </c>
      <c r="O45" s="112" t="s">
        <v>510</v>
      </c>
      <c r="P45" s="112" t="s">
        <v>511</v>
      </c>
    </row>
    <row r="46" spans="2:17" x14ac:dyDescent="0.25">
      <c r="B46" s="113" t="s">
        <v>429</v>
      </c>
      <c r="C46" s="113" t="s">
        <v>512</v>
      </c>
      <c r="D46" s="113" t="s">
        <v>513</v>
      </c>
      <c r="E46" s="113" t="s">
        <v>439</v>
      </c>
      <c r="F46" s="113" t="s">
        <v>514</v>
      </c>
      <c r="G46" s="113" t="s">
        <v>436</v>
      </c>
      <c r="H46" s="113" t="s">
        <v>515</v>
      </c>
      <c r="I46" s="113" t="s">
        <v>516</v>
      </c>
      <c r="J46" s="113" t="s">
        <v>517</v>
      </c>
      <c r="K46" s="113" t="s">
        <v>212</v>
      </c>
      <c r="L46" s="113" t="s">
        <v>518</v>
      </c>
      <c r="M46" s="113" t="s">
        <v>519</v>
      </c>
      <c r="N46" s="113" t="s">
        <v>520</v>
      </c>
      <c r="O46" s="113" t="s">
        <v>521</v>
      </c>
      <c r="P46" s="113" t="s">
        <v>522</v>
      </c>
    </row>
    <row r="47" spans="2:17" x14ac:dyDescent="0.25">
      <c r="B47" s="114"/>
      <c r="C47" s="114" t="s">
        <v>523</v>
      </c>
      <c r="D47" s="114" t="s">
        <v>513</v>
      </c>
      <c r="E47" s="114" t="s">
        <v>439</v>
      </c>
      <c r="F47" s="114" t="s">
        <v>514</v>
      </c>
      <c r="G47" s="114" t="s">
        <v>436</v>
      </c>
      <c r="H47" s="114" t="s">
        <v>524</v>
      </c>
      <c r="I47" s="114" t="s">
        <v>525</v>
      </c>
      <c r="J47" s="114" t="s">
        <v>212</v>
      </c>
      <c r="K47" s="114" t="s">
        <v>518</v>
      </c>
      <c r="L47" s="114" t="s">
        <v>526</v>
      </c>
      <c r="M47" s="114" t="s">
        <v>527</v>
      </c>
      <c r="N47" s="114" t="s">
        <v>528</v>
      </c>
      <c r="O47" s="114" t="s">
        <v>529</v>
      </c>
      <c r="P47" s="114" t="s">
        <v>530</v>
      </c>
    </row>
    <row r="48" spans="2:17" x14ac:dyDescent="0.25">
      <c r="B48" s="114"/>
      <c r="C48" s="114"/>
      <c r="D48" s="114"/>
      <c r="E48" s="114"/>
      <c r="F48" s="114"/>
      <c r="G48" s="114"/>
      <c r="H48" s="114"/>
      <c r="I48" s="114"/>
      <c r="J48" s="114"/>
      <c r="K48" s="114"/>
      <c r="L48" s="114"/>
      <c r="M48" s="114"/>
      <c r="N48" s="114"/>
      <c r="O48" s="114"/>
      <c r="P48" s="114"/>
    </row>
    <row r="49" spans="2:16" x14ac:dyDescent="0.25">
      <c r="B49" s="113" t="s">
        <v>429</v>
      </c>
      <c r="C49" s="113" t="s">
        <v>531</v>
      </c>
      <c r="D49" s="113" t="s">
        <v>431</v>
      </c>
      <c r="E49" s="113" t="s">
        <v>210</v>
      </c>
      <c r="F49" s="113" t="s">
        <v>439</v>
      </c>
      <c r="G49" s="113" t="s">
        <v>440</v>
      </c>
      <c r="H49" s="113" t="s">
        <v>435</v>
      </c>
      <c r="I49" s="113" t="s">
        <v>436</v>
      </c>
      <c r="J49" s="113" t="s">
        <v>532</v>
      </c>
      <c r="K49" s="113" t="s">
        <v>524</v>
      </c>
      <c r="L49" s="113" t="s">
        <v>516</v>
      </c>
      <c r="M49" s="113" t="s">
        <v>525</v>
      </c>
      <c r="N49" s="113" t="s">
        <v>533</v>
      </c>
      <c r="O49" s="113" t="s">
        <v>212</v>
      </c>
      <c r="P49" s="113" t="s">
        <v>73</v>
      </c>
    </row>
    <row r="50" spans="2:16" x14ac:dyDescent="0.25">
      <c r="B50" s="114"/>
      <c r="C50" s="114" t="s">
        <v>534</v>
      </c>
      <c r="D50" s="114" t="s">
        <v>68</v>
      </c>
      <c r="E50" s="114" t="s">
        <v>73</v>
      </c>
      <c r="F50" s="114" t="s">
        <v>78</v>
      </c>
      <c r="G50" s="114" t="s">
        <v>214</v>
      </c>
      <c r="H50" s="114" t="s">
        <v>204</v>
      </c>
      <c r="I50" s="114" t="s">
        <v>429</v>
      </c>
      <c r="J50" s="114" t="s">
        <v>535</v>
      </c>
      <c r="K50" s="114" t="s">
        <v>431</v>
      </c>
      <c r="L50" s="114" t="s">
        <v>513</v>
      </c>
      <c r="M50" s="114" t="s">
        <v>210</v>
      </c>
      <c r="N50" s="114" t="s">
        <v>536</v>
      </c>
      <c r="O50" s="114" t="s">
        <v>439</v>
      </c>
      <c r="P50" s="114" t="s">
        <v>68</v>
      </c>
    </row>
    <row r="51" spans="2:16" x14ac:dyDescent="0.25">
      <c r="B51" s="114"/>
      <c r="C51" s="114" t="s">
        <v>537</v>
      </c>
      <c r="D51" s="114" t="s">
        <v>68</v>
      </c>
      <c r="E51" s="114" t="s">
        <v>73</v>
      </c>
      <c r="F51" s="114" t="s">
        <v>78</v>
      </c>
      <c r="G51" s="114" t="s">
        <v>214</v>
      </c>
      <c r="H51" s="114" t="s">
        <v>204</v>
      </c>
      <c r="I51" s="114" t="s">
        <v>429</v>
      </c>
      <c r="J51" s="114" t="s">
        <v>535</v>
      </c>
      <c r="K51" s="114" t="s">
        <v>431</v>
      </c>
      <c r="L51" s="114" t="s">
        <v>513</v>
      </c>
      <c r="M51" s="114" t="s">
        <v>210</v>
      </c>
      <c r="N51" s="114" t="s">
        <v>536</v>
      </c>
      <c r="O51" s="114" t="s">
        <v>439</v>
      </c>
      <c r="P51" s="114" t="s">
        <v>68</v>
      </c>
    </row>
    <row r="52" spans="2:16" x14ac:dyDescent="0.25">
      <c r="B52" s="114"/>
      <c r="C52" s="114" t="s">
        <v>538</v>
      </c>
      <c r="D52" s="114" t="s">
        <v>539</v>
      </c>
      <c r="E52" s="114" t="s">
        <v>532</v>
      </c>
      <c r="F52" s="114" t="s">
        <v>517</v>
      </c>
      <c r="G52" s="114" t="s">
        <v>518</v>
      </c>
      <c r="H52" s="114" t="s">
        <v>540</v>
      </c>
      <c r="I52" s="114" t="s">
        <v>541</v>
      </c>
      <c r="J52" s="114" t="s">
        <v>542</v>
      </c>
      <c r="K52" s="114" t="s">
        <v>543</v>
      </c>
      <c r="L52" s="114" t="s">
        <v>544</v>
      </c>
      <c r="M52" s="114" t="s">
        <v>545</v>
      </c>
      <c r="N52" s="114" t="s">
        <v>546</v>
      </c>
      <c r="O52" s="114" t="s">
        <v>547</v>
      </c>
      <c r="P52" s="114" t="s">
        <v>535</v>
      </c>
    </row>
    <row r="53" spans="2:16" x14ac:dyDescent="0.25">
      <c r="B53" s="114"/>
      <c r="C53" s="114" t="s">
        <v>548</v>
      </c>
      <c r="D53" s="114" t="s">
        <v>535</v>
      </c>
      <c r="E53" s="114" t="s">
        <v>440</v>
      </c>
      <c r="F53" s="114" t="s">
        <v>515</v>
      </c>
      <c r="G53" s="114" t="s">
        <v>533</v>
      </c>
      <c r="H53" s="114" t="s">
        <v>549</v>
      </c>
      <c r="I53" s="114" t="s">
        <v>520</v>
      </c>
      <c r="J53" s="114" t="s">
        <v>528</v>
      </c>
      <c r="K53" s="114" t="s">
        <v>550</v>
      </c>
      <c r="L53" s="114" t="s">
        <v>551</v>
      </c>
      <c r="M53" s="114" t="s">
        <v>552</v>
      </c>
      <c r="N53" s="114" t="s">
        <v>553</v>
      </c>
      <c r="O53" s="114" t="s">
        <v>554</v>
      </c>
      <c r="P53" s="114" t="s">
        <v>535</v>
      </c>
    </row>
    <row r="54" spans="2:16" x14ac:dyDescent="0.25">
      <c r="B54" s="114"/>
      <c r="C54" s="114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</row>
    <row r="55" spans="2:16" x14ac:dyDescent="0.25">
      <c r="B55" s="113" t="s">
        <v>68</v>
      </c>
      <c r="C55" s="113" t="s">
        <v>555</v>
      </c>
      <c r="D55" s="113" t="s">
        <v>73</v>
      </c>
      <c r="E55" s="113" t="s">
        <v>79</v>
      </c>
      <c r="F55" s="113" t="s">
        <v>556</v>
      </c>
      <c r="G55" s="113" t="s">
        <v>557</v>
      </c>
      <c r="H55" s="113" t="s">
        <v>558</v>
      </c>
      <c r="I55" s="113" t="s">
        <v>559</v>
      </c>
      <c r="J55" s="113" t="s">
        <v>536</v>
      </c>
      <c r="K55" s="113" t="s">
        <v>560</v>
      </c>
      <c r="L55" s="113" t="s">
        <v>561</v>
      </c>
      <c r="M55" s="113" t="s">
        <v>562</v>
      </c>
      <c r="N55" s="113" t="s">
        <v>532</v>
      </c>
      <c r="O55" s="113" t="s">
        <v>563</v>
      </c>
      <c r="P55" s="113" t="s">
        <v>564</v>
      </c>
    </row>
    <row r="56" spans="2:16" x14ac:dyDescent="0.25">
      <c r="B56" s="114"/>
      <c r="C56" s="114" t="s">
        <v>565</v>
      </c>
      <c r="D56" s="114" t="s">
        <v>68</v>
      </c>
      <c r="E56" s="114" t="s">
        <v>73</v>
      </c>
      <c r="F56" s="114" t="s">
        <v>78</v>
      </c>
      <c r="G56" s="114" t="s">
        <v>214</v>
      </c>
      <c r="H56" s="114" t="s">
        <v>566</v>
      </c>
      <c r="I56" s="114" t="s">
        <v>567</v>
      </c>
      <c r="J56" s="114" t="s">
        <v>568</v>
      </c>
      <c r="K56" s="114" t="s">
        <v>569</v>
      </c>
      <c r="L56" s="114" t="s">
        <v>570</v>
      </c>
      <c r="M56" s="114" t="s">
        <v>571</v>
      </c>
      <c r="N56" s="114" t="s">
        <v>514</v>
      </c>
      <c r="O56" s="114" t="s">
        <v>572</v>
      </c>
      <c r="P56" s="114" t="s">
        <v>573</v>
      </c>
    </row>
    <row r="57" spans="2:16" x14ac:dyDescent="0.25">
      <c r="B57" s="114"/>
      <c r="C57" s="114" t="s">
        <v>574</v>
      </c>
      <c r="D57" s="114" t="s">
        <v>575</v>
      </c>
      <c r="E57" s="114" t="s">
        <v>67</v>
      </c>
      <c r="F57" s="114" t="s">
        <v>71</v>
      </c>
      <c r="G57" s="114" t="s">
        <v>75</v>
      </c>
      <c r="H57" s="114" t="s">
        <v>80</v>
      </c>
      <c r="I57" s="114" t="s">
        <v>556</v>
      </c>
      <c r="J57" s="114" t="s">
        <v>566</v>
      </c>
      <c r="K57" s="114" t="s">
        <v>576</v>
      </c>
      <c r="L57" s="114" t="s">
        <v>577</v>
      </c>
      <c r="M57" s="114" t="s">
        <v>578</v>
      </c>
      <c r="N57" s="114" t="s">
        <v>210</v>
      </c>
      <c r="O57" s="114" t="s">
        <v>579</v>
      </c>
      <c r="P57" s="114" t="s">
        <v>580</v>
      </c>
    </row>
    <row r="58" spans="2:16" x14ac:dyDescent="0.25">
      <c r="B58" s="114"/>
      <c r="C58" s="114"/>
      <c r="D58" s="114"/>
      <c r="E58" s="114"/>
      <c r="F58" s="114"/>
      <c r="G58" s="114"/>
      <c r="H58" s="114"/>
      <c r="I58" s="114"/>
      <c r="J58" s="114"/>
      <c r="K58" s="114"/>
      <c r="L58" s="114"/>
      <c r="M58" s="114"/>
      <c r="N58" s="114"/>
      <c r="O58" s="114"/>
      <c r="P58" s="114"/>
    </row>
    <row r="59" spans="2:16" x14ac:dyDescent="0.25">
      <c r="B59" s="113" t="s">
        <v>210</v>
      </c>
      <c r="C59" s="113" t="s">
        <v>581</v>
      </c>
      <c r="D59" s="113" t="s">
        <v>582</v>
      </c>
      <c r="E59" s="113" t="s">
        <v>516</v>
      </c>
      <c r="F59" s="113" t="s">
        <v>583</v>
      </c>
      <c r="G59" s="113" t="s">
        <v>518</v>
      </c>
      <c r="H59" s="113" t="s">
        <v>540</v>
      </c>
      <c r="I59" s="113" t="s">
        <v>541</v>
      </c>
      <c r="J59" s="113" t="s">
        <v>542</v>
      </c>
      <c r="K59" s="113" t="s">
        <v>543</v>
      </c>
      <c r="L59" s="113" t="s">
        <v>544</v>
      </c>
      <c r="M59" s="113" t="s">
        <v>545</v>
      </c>
      <c r="N59" s="113" t="s">
        <v>546</v>
      </c>
      <c r="O59" s="113" t="s">
        <v>547</v>
      </c>
      <c r="P59" s="113" t="s">
        <v>584</v>
      </c>
    </row>
    <row r="60" spans="2:16" x14ac:dyDescent="0.25">
      <c r="B60" s="114"/>
      <c r="C60" s="114" t="s">
        <v>585</v>
      </c>
      <c r="D60" s="114" t="s">
        <v>440</v>
      </c>
      <c r="E60" s="114" t="s">
        <v>436</v>
      </c>
      <c r="F60" s="114" t="s">
        <v>524</v>
      </c>
      <c r="G60" s="114" t="s">
        <v>525</v>
      </c>
      <c r="H60" s="114" t="s">
        <v>212</v>
      </c>
      <c r="I60" s="114" t="s">
        <v>518</v>
      </c>
      <c r="J60" s="114" t="s">
        <v>519</v>
      </c>
      <c r="K60" s="114" t="s">
        <v>520</v>
      </c>
      <c r="L60" s="114" t="s">
        <v>541</v>
      </c>
      <c r="M60" s="114" t="s">
        <v>529</v>
      </c>
      <c r="N60" s="114" t="s">
        <v>466</v>
      </c>
      <c r="O60" s="114" t="s">
        <v>586</v>
      </c>
      <c r="P60" s="114" t="s">
        <v>587</v>
      </c>
    </row>
    <row r="61" spans="2:16" x14ac:dyDescent="0.25">
      <c r="B61" s="114"/>
      <c r="C61" s="114" t="s">
        <v>588</v>
      </c>
      <c r="D61" s="114" t="s">
        <v>439</v>
      </c>
      <c r="E61" s="114" t="s">
        <v>440</v>
      </c>
      <c r="F61" s="114" t="s">
        <v>435</v>
      </c>
      <c r="G61" s="114" t="s">
        <v>436</v>
      </c>
      <c r="H61" s="114" t="s">
        <v>532</v>
      </c>
      <c r="I61" s="114" t="s">
        <v>524</v>
      </c>
      <c r="J61" s="114" t="s">
        <v>516</v>
      </c>
      <c r="K61" s="114" t="s">
        <v>525</v>
      </c>
      <c r="L61" s="114" t="s">
        <v>212</v>
      </c>
      <c r="M61" s="114" t="s">
        <v>518</v>
      </c>
      <c r="N61" s="114" t="s">
        <v>519</v>
      </c>
      <c r="O61" s="114" t="s">
        <v>520</v>
      </c>
      <c r="P61" s="114" t="s">
        <v>589</v>
      </c>
    </row>
    <row r="62" spans="2:16" x14ac:dyDescent="0.25">
      <c r="B62" s="114"/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14"/>
      <c r="N62" s="114"/>
      <c r="O62" s="114"/>
      <c r="P62" s="114"/>
    </row>
    <row r="63" spans="2:16" x14ac:dyDescent="0.25">
      <c r="B63" s="113" t="s">
        <v>73</v>
      </c>
      <c r="C63" s="113" t="s">
        <v>590</v>
      </c>
      <c r="D63" s="113" t="s">
        <v>591</v>
      </c>
      <c r="E63" s="113" t="s">
        <v>575</v>
      </c>
      <c r="F63" s="113" t="s">
        <v>68</v>
      </c>
      <c r="G63" s="113" t="s">
        <v>73</v>
      </c>
      <c r="H63" s="113" t="s">
        <v>214</v>
      </c>
      <c r="I63" s="113" t="s">
        <v>429</v>
      </c>
      <c r="J63" s="113" t="s">
        <v>431</v>
      </c>
      <c r="K63" s="113" t="s">
        <v>210</v>
      </c>
      <c r="L63" s="113" t="s">
        <v>439</v>
      </c>
      <c r="M63" s="113" t="s">
        <v>440</v>
      </c>
      <c r="N63" s="113" t="s">
        <v>435</v>
      </c>
      <c r="O63" s="113" t="s">
        <v>436</v>
      </c>
      <c r="P63" s="113" t="s">
        <v>592</v>
      </c>
    </row>
    <row r="64" spans="2:16" x14ac:dyDescent="0.25">
      <c r="B64" s="114"/>
      <c r="C64" s="114" t="s">
        <v>593</v>
      </c>
      <c r="D64" s="114" t="s">
        <v>591</v>
      </c>
      <c r="E64" s="114" t="s">
        <v>575</v>
      </c>
      <c r="F64" s="114" t="s">
        <v>68</v>
      </c>
      <c r="G64" s="114" t="s">
        <v>73</v>
      </c>
      <c r="H64" s="114" t="s">
        <v>78</v>
      </c>
      <c r="I64" s="114" t="s">
        <v>214</v>
      </c>
      <c r="J64" s="114" t="s">
        <v>204</v>
      </c>
      <c r="K64" s="114" t="s">
        <v>429</v>
      </c>
      <c r="L64" s="114" t="s">
        <v>431</v>
      </c>
      <c r="M64" s="114" t="s">
        <v>210</v>
      </c>
      <c r="N64" s="114" t="s">
        <v>439</v>
      </c>
      <c r="O64" s="114" t="s">
        <v>440</v>
      </c>
      <c r="P64" s="114" t="s">
        <v>592</v>
      </c>
    </row>
    <row r="65" spans="2:17" x14ac:dyDescent="0.25">
      <c r="B65" s="114"/>
      <c r="C65" s="114" t="s">
        <v>594</v>
      </c>
      <c r="D65" s="114" t="s">
        <v>591</v>
      </c>
      <c r="E65" s="114" t="s">
        <v>575</v>
      </c>
      <c r="F65" s="114" t="s">
        <v>68</v>
      </c>
      <c r="G65" s="114" t="s">
        <v>73</v>
      </c>
      <c r="H65" s="114" t="s">
        <v>78</v>
      </c>
      <c r="I65" s="114" t="s">
        <v>214</v>
      </c>
      <c r="J65" s="114" t="s">
        <v>204</v>
      </c>
      <c r="K65" s="114" t="s">
        <v>429</v>
      </c>
      <c r="L65" s="114" t="s">
        <v>535</v>
      </c>
      <c r="M65" s="114" t="s">
        <v>431</v>
      </c>
      <c r="N65" s="114" t="s">
        <v>513</v>
      </c>
      <c r="O65" s="114" t="s">
        <v>210</v>
      </c>
      <c r="P65" s="114" t="s">
        <v>68</v>
      </c>
    </row>
    <row r="66" spans="2:17" x14ac:dyDescent="0.25">
      <c r="B66" s="114"/>
      <c r="C66" s="114"/>
      <c r="D66" s="114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</row>
    <row r="67" spans="2:17" x14ac:dyDescent="0.25">
      <c r="B67" s="113" t="s">
        <v>595</v>
      </c>
      <c r="C67" s="113" t="s">
        <v>596</v>
      </c>
      <c r="D67" s="113" t="s">
        <v>532</v>
      </c>
      <c r="E67" s="113" t="s">
        <v>597</v>
      </c>
      <c r="F67" s="113" t="s">
        <v>212</v>
      </c>
      <c r="G67" s="113" t="s">
        <v>549</v>
      </c>
      <c r="H67" s="113" t="s">
        <v>520</v>
      </c>
      <c r="I67" s="113" t="s">
        <v>528</v>
      </c>
      <c r="J67" s="113" t="s">
        <v>550</v>
      </c>
      <c r="K67" s="113" t="s">
        <v>551</v>
      </c>
      <c r="L67" s="113" t="s">
        <v>598</v>
      </c>
      <c r="M67" s="113" t="s">
        <v>599</v>
      </c>
      <c r="N67" s="113" t="s">
        <v>547</v>
      </c>
      <c r="O67" s="113" t="s">
        <v>600</v>
      </c>
      <c r="P67" s="113" t="s">
        <v>601</v>
      </c>
    </row>
    <row r="68" spans="2:17" x14ac:dyDescent="0.25"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</row>
    <row r="69" spans="2:17" x14ac:dyDescent="0.25">
      <c r="B69" s="114"/>
      <c r="C69" s="113" t="s">
        <v>602</v>
      </c>
      <c r="D69" s="113" t="s">
        <v>575</v>
      </c>
      <c r="E69" s="113" t="s">
        <v>65</v>
      </c>
      <c r="F69" s="113" t="s">
        <v>67</v>
      </c>
      <c r="G69" s="113" t="s">
        <v>69</v>
      </c>
      <c r="H69" s="113" t="s">
        <v>71</v>
      </c>
      <c r="I69" s="113" t="s">
        <v>73</v>
      </c>
      <c r="J69" s="113" t="s">
        <v>75</v>
      </c>
      <c r="K69" s="113" t="s">
        <v>77</v>
      </c>
      <c r="L69" s="113" t="s">
        <v>79</v>
      </c>
      <c r="M69" s="113" t="s">
        <v>81</v>
      </c>
      <c r="N69" s="113" t="s">
        <v>214</v>
      </c>
      <c r="O69" s="113" t="s">
        <v>556</v>
      </c>
      <c r="P69" s="113" t="s">
        <v>65</v>
      </c>
    </row>
    <row r="70" spans="2:17" x14ac:dyDescent="0.25"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</row>
    <row r="71" spans="2:17" x14ac:dyDescent="0.25">
      <c r="B71" s="113" t="s">
        <v>210</v>
      </c>
      <c r="C71" s="113" t="s">
        <v>603</v>
      </c>
      <c r="D71" s="113" t="s">
        <v>440</v>
      </c>
      <c r="E71" s="113" t="s">
        <v>435</v>
      </c>
      <c r="F71" s="113" t="s">
        <v>436</v>
      </c>
      <c r="G71" s="113" t="s">
        <v>532</v>
      </c>
      <c r="H71" s="113" t="s">
        <v>516</v>
      </c>
      <c r="I71" s="113" t="s">
        <v>533</v>
      </c>
      <c r="J71" s="113" t="s">
        <v>604</v>
      </c>
      <c r="K71" s="113" t="s">
        <v>605</v>
      </c>
      <c r="L71" s="113" t="s">
        <v>540</v>
      </c>
      <c r="M71" s="113" t="s">
        <v>521</v>
      </c>
      <c r="N71" s="113" t="s">
        <v>606</v>
      </c>
      <c r="O71" s="113" t="s">
        <v>550</v>
      </c>
      <c r="P71" s="113" t="s">
        <v>607</v>
      </c>
    </row>
    <row r="72" spans="2:17" x14ac:dyDescent="0.25">
      <c r="B72" s="114"/>
      <c r="C72" s="114"/>
      <c r="D72" s="116">
        <v>50</v>
      </c>
      <c r="E72" s="116">
        <v>60</v>
      </c>
      <c r="F72" s="116">
        <v>70</v>
      </c>
      <c r="G72" s="116">
        <v>80</v>
      </c>
      <c r="H72" s="116">
        <v>95</v>
      </c>
      <c r="I72" s="116">
        <v>110</v>
      </c>
      <c r="J72" s="116">
        <v>125</v>
      </c>
      <c r="K72" s="116">
        <v>140</v>
      </c>
      <c r="L72" s="116">
        <v>160</v>
      </c>
      <c r="M72" s="116">
        <v>180</v>
      </c>
      <c r="N72" s="116">
        <v>200</v>
      </c>
      <c r="O72" s="116">
        <v>220</v>
      </c>
      <c r="P72" s="116" t="s">
        <v>608</v>
      </c>
      <c r="Q72" s="49" t="s">
        <v>609</v>
      </c>
    </row>
    <row r="73" spans="2:17" x14ac:dyDescent="0.25">
      <c r="B73" s="114"/>
      <c r="C73" s="114"/>
      <c r="D73" s="114"/>
      <c r="E73" s="114"/>
      <c r="F73" s="114"/>
      <c r="G73" s="114"/>
      <c r="H73" s="114"/>
      <c r="I73" s="114"/>
      <c r="J73" s="114"/>
      <c r="K73" s="114"/>
      <c r="L73" s="114"/>
      <c r="M73" s="114"/>
      <c r="N73" s="114"/>
      <c r="O73" s="114"/>
      <c r="P73" s="114"/>
    </row>
    <row r="74" spans="2:17" x14ac:dyDescent="0.25">
      <c r="B74" s="114"/>
      <c r="C74" s="113" t="s">
        <v>610</v>
      </c>
      <c r="D74" s="113">
        <v>45</v>
      </c>
      <c r="E74" s="113">
        <v>60</v>
      </c>
      <c r="F74" s="113">
        <v>75</v>
      </c>
      <c r="G74" s="113">
        <v>90</v>
      </c>
      <c r="H74" s="113">
        <v>105</v>
      </c>
      <c r="I74" s="113">
        <v>120</v>
      </c>
      <c r="J74" s="113">
        <v>135</v>
      </c>
      <c r="K74" s="113">
        <v>150</v>
      </c>
      <c r="L74" s="113">
        <v>165</v>
      </c>
      <c r="M74" s="113">
        <v>180</v>
      </c>
      <c r="N74" s="113">
        <v>195</v>
      </c>
      <c r="O74" s="113">
        <v>210</v>
      </c>
      <c r="P74" s="113">
        <v>15</v>
      </c>
    </row>
    <row r="75" spans="2:17" x14ac:dyDescent="0.25">
      <c r="B75" s="114"/>
      <c r="C75" s="114"/>
      <c r="D75" s="116">
        <v>40</v>
      </c>
      <c r="E75" s="116">
        <v>50</v>
      </c>
      <c r="F75" s="116">
        <v>60</v>
      </c>
      <c r="G75" s="116">
        <v>70</v>
      </c>
      <c r="H75" s="116">
        <v>80</v>
      </c>
      <c r="I75" s="116">
        <v>90</v>
      </c>
      <c r="J75" s="116">
        <v>100</v>
      </c>
      <c r="K75" s="116">
        <v>110</v>
      </c>
      <c r="L75" s="116">
        <v>120</v>
      </c>
      <c r="M75" s="116">
        <v>130</v>
      </c>
      <c r="N75" s="116">
        <v>140</v>
      </c>
      <c r="O75" s="116">
        <v>150</v>
      </c>
      <c r="P75" s="116">
        <v>10</v>
      </c>
      <c r="Q75" s="49" t="s">
        <v>609</v>
      </c>
    </row>
    <row r="76" spans="2:17" x14ac:dyDescent="0.25">
      <c r="B76" s="114"/>
      <c r="C76" s="114"/>
      <c r="D76" s="114"/>
      <c r="E76" s="114"/>
      <c r="F76" s="114"/>
      <c r="G76" s="114"/>
      <c r="H76" s="114"/>
      <c r="I76" s="114"/>
      <c r="J76" s="114"/>
      <c r="K76" s="114"/>
      <c r="L76" s="114"/>
      <c r="M76" s="114"/>
      <c r="N76" s="114"/>
      <c r="O76" s="114"/>
      <c r="P76" s="114"/>
    </row>
    <row r="77" spans="2:17" x14ac:dyDescent="0.25">
      <c r="B77" s="113" t="s">
        <v>439</v>
      </c>
      <c r="C77" s="113" t="s">
        <v>611</v>
      </c>
      <c r="D77" s="113" t="s">
        <v>440</v>
      </c>
      <c r="E77" s="113" t="s">
        <v>436</v>
      </c>
      <c r="F77" s="113" t="s">
        <v>524</v>
      </c>
      <c r="G77" s="113" t="s">
        <v>525</v>
      </c>
      <c r="H77" s="113" t="s">
        <v>212</v>
      </c>
      <c r="I77" s="113" t="s">
        <v>518</v>
      </c>
      <c r="J77" s="113" t="s">
        <v>519</v>
      </c>
      <c r="K77" s="113" t="s">
        <v>520</v>
      </c>
      <c r="L77" s="113" t="s">
        <v>528</v>
      </c>
      <c r="M77" s="113" t="s">
        <v>550</v>
      </c>
      <c r="N77" s="113" t="s">
        <v>551</v>
      </c>
      <c r="O77" s="113" t="s">
        <v>552</v>
      </c>
      <c r="P77" s="113" t="s">
        <v>612</v>
      </c>
    </row>
    <row r="78" spans="2:17" x14ac:dyDescent="0.25">
      <c r="B78" s="114"/>
      <c r="C78" s="114"/>
      <c r="D78" s="116">
        <v>55</v>
      </c>
      <c r="E78" s="116">
        <v>70</v>
      </c>
      <c r="F78" s="116">
        <v>85</v>
      </c>
      <c r="G78" s="116">
        <v>100</v>
      </c>
      <c r="H78" s="116">
        <v>125</v>
      </c>
      <c r="I78" s="116">
        <v>150</v>
      </c>
      <c r="J78" s="116">
        <v>175</v>
      </c>
      <c r="K78" s="116">
        <v>200</v>
      </c>
      <c r="L78" s="116">
        <v>225</v>
      </c>
      <c r="M78" s="116">
        <v>250</v>
      </c>
      <c r="N78" s="116">
        <v>275</v>
      </c>
      <c r="O78" s="116">
        <v>300</v>
      </c>
      <c r="P78" s="116" t="s">
        <v>613</v>
      </c>
      <c r="Q78" s="49" t="s">
        <v>609</v>
      </c>
    </row>
    <row r="79" spans="2:17" x14ac:dyDescent="0.25">
      <c r="B79" s="114"/>
      <c r="C79" s="114"/>
      <c r="D79" s="114"/>
      <c r="E79" s="114"/>
      <c r="F79" s="114"/>
      <c r="G79" s="114"/>
      <c r="H79" s="114"/>
      <c r="I79" s="114"/>
      <c r="J79" s="114"/>
      <c r="K79" s="114"/>
      <c r="L79" s="114"/>
      <c r="M79" s="114"/>
      <c r="N79" s="114"/>
      <c r="O79" s="114"/>
      <c r="P79" s="114"/>
    </row>
    <row r="80" spans="2:17" x14ac:dyDescent="0.25">
      <c r="B80" s="113" t="s">
        <v>536</v>
      </c>
      <c r="C80" s="113" t="s">
        <v>614</v>
      </c>
      <c r="D80" s="113" t="s">
        <v>440</v>
      </c>
      <c r="E80" s="113" t="s">
        <v>435</v>
      </c>
      <c r="F80" s="113" t="s">
        <v>436</v>
      </c>
      <c r="G80" s="113" t="s">
        <v>532</v>
      </c>
      <c r="H80" s="113" t="s">
        <v>516</v>
      </c>
      <c r="I80" s="113" t="s">
        <v>533</v>
      </c>
      <c r="J80" s="113" t="s">
        <v>604</v>
      </c>
      <c r="K80" s="113" t="s">
        <v>605</v>
      </c>
      <c r="L80" s="113" t="s">
        <v>540</v>
      </c>
      <c r="M80" s="113" t="s">
        <v>521</v>
      </c>
      <c r="N80" s="113" t="s">
        <v>606</v>
      </c>
      <c r="O80" s="113" t="s">
        <v>550</v>
      </c>
      <c r="P80" s="113" t="s">
        <v>607</v>
      </c>
    </row>
    <row r="81" spans="2:17" x14ac:dyDescent="0.25">
      <c r="B81" s="114"/>
      <c r="C81" s="114"/>
      <c r="D81" s="116">
        <v>50</v>
      </c>
      <c r="E81" s="116">
        <v>60</v>
      </c>
      <c r="F81" s="116">
        <v>70</v>
      </c>
      <c r="G81" s="116">
        <v>80</v>
      </c>
      <c r="H81" s="116">
        <v>95</v>
      </c>
      <c r="I81" s="116">
        <v>110</v>
      </c>
      <c r="J81" s="116">
        <v>125</v>
      </c>
      <c r="K81" s="116">
        <v>140</v>
      </c>
      <c r="L81" s="116">
        <v>160</v>
      </c>
      <c r="M81" s="116">
        <v>180</v>
      </c>
      <c r="N81" s="116">
        <v>200</v>
      </c>
      <c r="O81" s="116">
        <v>220</v>
      </c>
      <c r="P81" s="116" t="s">
        <v>608</v>
      </c>
      <c r="Q81" s="49" t="s">
        <v>609</v>
      </c>
    </row>
    <row r="82" spans="2:17" x14ac:dyDescent="0.25">
      <c r="B82" s="114"/>
      <c r="C82" s="114"/>
      <c r="D82" s="114"/>
      <c r="E82" s="114"/>
      <c r="F82" s="114"/>
      <c r="G82" s="114"/>
      <c r="H82" s="114"/>
      <c r="I82" s="114"/>
      <c r="J82" s="114"/>
      <c r="K82" s="114"/>
      <c r="L82" s="114"/>
      <c r="M82" s="114"/>
      <c r="N82" s="114"/>
      <c r="O82" s="114"/>
      <c r="P82" s="114"/>
    </row>
    <row r="83" spans="2:17" x14ac:dyDescent="0.25">
      <c r="B83" s="113" t="s">
        <v>439</v>
      </c>
      <c r="C83" s="113" t="s">
        <v>615</v>
      </c>
      <c r="D83" s="113" t="s">
        <v>440</v>
      </c>
      <c r="E83" s="113" t="s">
        <v>436</v>
      </c>
      <c r="F83" s="113" t="s">
        <v>524</v>
      </c>
      <c r="G83" s="113" t="s">
        <v>525</v>
      </c>
      <c r="H83" s="113" t="s">
        <v>212</v>
      </c>
      <c r="I83" s="113" t="s">
        <v>518</v>
      </c>
      <c r="J83" s="113" t="s">
        <v>519</v>
      </c>
      <c r="K83" s="113" t="s">
        <v>520</v>
      </c>
      <c r="L83" s="113" t="s">
        <v>528</v>
      </c>
      <c r="M83" s="113" t="s">
        <v>550</v>
      </c>
      <c r="N83" s="113" t="s">
        <v>551</v>
      </c>
      <c r="O83" s="113" t="s">
        <v>552</v>
      </c>
      <c r="P83" s="113" t="s">
        <v>612</v>
      </c>
    </row>
    <row r="84" spans="2:17" x14ac:dyDescent="0.25">
      <c r="B84" s="114"/>
      <c r="C84" s="114"/>
      <c r="D84" s="116">
        <v>55</v>
      </c>
      <c r="E84" s="116">
        <v>70</v>
      </c>
      <c r="F84" s="116">
        <v>85</v>
      </c>
      <c r="G84" s="116">
        <v>100</v>
      </c>
      <c r="H84" s="116">
        <v>125</v>
      </c>
      <c r="I84" s="116">
        <v>150</v>
      </c>
      <c r="J84" s="116">
        <v>175</v>
      </c>
      <c r="K84" s="116">
        <v>200</v>
      </c>
      <c r="L84" s="116">
        <v>225</v>
      </c>
      <c r="M84" s="116">
        <v>250</v>
      </c>
      <c r="N84" s="116">
        <v>275</v>
      </c>
      <c r="O84" s="116">
        <v>300</v>
      </c>
      <c r="P84" s="116" t="s">
        <v>613</v>
      </c>
      <c r="Q84" s="49" t="s">
        <v>609</v>
      </c>
    </row>
    <row r="85" spans="2:17" x14ac:dyDescent="0.25">
      <c r="B85" s="114"/>
      <c r="C85" s="114"/>
      <c r="D85" s="114"/>
      <c r="E85" s="114"/>
      <c r="F85" s="114"/>
      <c r="G85" s="114"/>
      <c r="H85" s="114"/>
      <c r="I85" s="114"/>
      <c r="J85" s="114"/>
      <c r="K85" s="114"/>
      <c r="L85" s="114"/>
      <c r="M85" s="114"/>
      <c r="N85" s="114"/>
      <c r="O85" s="114"/>
      <c r="P85" s="114"/>
    </row>
    <row r="86" spans="2:17" x14ac:dyDescent="0.25">
      <c r="B86" s="113" t="s">
        <v>436</v>
      </c>
      <c r="C86" s="113" t="s">
        <v>616</v>
      </c>
      <c r="D86" s="113">
        <v>115</v>
      </c>
      <c r="E86" s="113">
        <v>130</v>
      </c>
      <c r="F86" s="113">
        <v>145</v>
      </c>
      <c r="G86" s="113">
        <v>160</v>
      </c>
      <c r="H86" s="113" t="s">
        <v>617</v>
      </c>
      <c r="I86" s="113" t="s">
        <v>520</v>
      </c>
      <c r="J86" s="113" t="s">
        <v>618</v>
      </c>
      <c r="K86" s="113" t="s">
        <v>619</v>
      </c>
      <c r="L86" s="113" t="s">
        <v>620</v>
      </c>
      <c r="M86" s="113" t="s">
        <v>586</v>
      </c>
      <c r="N86" s="113" t="s">
        <v>621</v>
      </c>
      <c r="O86" s="113">
        <v>400</v>
      </c>
      <c r="P86" s="113" t="s">
        <v>622</v>
      </c>
    </row>
    <row r="87" spans="2:17" x14ac:dyDescent="0.25">
      <c r="B87" s="114"/>
      <c r="C87" s="114"/>
      <c r="D87" s="116" t="s">
        <v>532</v>
      </c>
      <c r="E87" s="116" t="s">
        <v>524</v>
      </c>
      <c r="F87" s="116" t="s">
        <v>516</v>
      </c>
      <c r="G87" s="116" t="s">
        <v>525</v>
      </c>
      <c r="H87" s="116" t="s">
        <v>212</v>
      </c>
      <c r="I87" s="116" t="s">
        <v>518</v>
      </c>
      <c r="J87" s="116" t="s">
        <v>519</v>
      </c>
      <c r="K87" s="116" t="s">
        <v>520</v>
      </c>
      <c r="L87" s="116" t="s">
        <v>541</v>
      </c>
      <c r="M87" s="116" t="s">
        <v>529</v>
      </c>
      <c r="N87" s="116" t="s">
        <v>466</v>
      </c>
      <c r="O87" s="116" t="s">
        <v>586</v>
      </c>
      <c r="P87" s="116" t="s">
        <v>623</v>
      </c>
      <c r="Q87" s="49" t="s">
        <v>609</v>
      </c>
    </row>
    <row r="88" spans="2:17" x14ac:dyDescent="0.25">
      <c r="B88" s="114"/>
      <c r="C88" s="114"/>
      <c r="D88" s="114"/>
      <c r="E88" s="114"/>
      <c r="F88" s="114"/>
      <c r="G88" s="114"/>
      <c r="H88" s="114"/>
      <c r="I88" s="114"/>
      <c r="J88" s="114"/>
      <c r="K88" s="114"/>
      <c r="L88" s="114"/>
      <c r="M88" s="114"/>
      <c r="N88" s="114"/>
      <c r="O88" s="114"/>
      <c r="P88" s="114"/>
    </row>
    <row r="89" spans="2:17" x14ac:dyDescent="0.25">
      <c r="B89" s="113" t="s">
        <v>210</v>
      </c>
      <c r="C89" s="113" t="s">
        <v>624</v>
      </c>
      <c r="D89" s="113">
        <v>60</v>
      </c>
      <c r="E89" s="113">
        <v>70</v>
      </c>
      <c r="F89" s="113">
        <v>80</v>
      </c>
      <c r="G89" s="113">
        <v>90</v>
      </c>
      <c r="H89" s="113">
        <v>105</v>
      </c>
      <c r="I89" s="113">
        <v>120</v>
      </c>
      <c r="J89" s="113">
        <v>135</v>
      </c>
      <c r="K89" s="113">
        <v>150</v>
      </c>
      <c r="L89" s="113">
        <v>170</v>
      </c>
      <c r="M89" s="113">
        <v>190</v>
      </c>
      <c r="N89" s="113">
        <v>210</v>
      </c>
      <c r="O89" s="113">
        <v>230</v>
      </c>
      <c r="P89" s="113" t="s">
        <v>608</v>
      </c>
    </row>
    <row r="90" spans="2:17" x14ac:dyDescent="0.25">
      <c r="D90" s="116">
        <v>50</v>
      </c>
      <c r="E90" s="116">
        <v>60</v>
      </c>
      <c r="F90" s="116">
        <v>70</v>
      </c>
      <c r="G90" s="116">
        <v>80</v>
      </c>
      <c r="H90" s="116" t="s">
        <v>436</v>
      </c>
      <c r="I90" s="116" t="s">
        <v>532</v>
      </c>
      <c r="J90" s="116" t="s">
        <v>524</v>
      </c>
      <c r="K90" s="116" t="s">
        <v>516</v>
      </c>
      <c r="L90" s="116" t="s">
        <v>517</v>
      </c>
      <c r="M90" s="116" t="s">
        <v>212</v>
      </c>
      <c r="N90" s="116" t="s">
        <v>625</v>
      </c>
      <c r="O90" s="116">
        <v>180</v>
      </c>
      <c r="P90" s="116" t="s">
        <v>626</v>
      </c>
      <c r="Q90" s="49" t="s">
        <v>609</v>
      </c>
    </row>
  </sheetData>
  <mergeCells count="4">
    <mergeCell ref="B23:D24"/>
    <mergeCell ref="F23:O24"/>
    <mergeCell ref="B43:P44"/>
    <mergeCell ref="B2:N3"/>
  </mergeCells>
  <phoneticPr fontId="9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L50"/>
  <sheetViews>
    <sheetView zoomScale="115" zoomScaleNormal="115" workbookViewId="0"/>
  </sheetViews>
  <sheetFormatPr defaultColWidth="8.81640625" defaultRowHeight="14" x14ac:dyDescent="0.25"/>
  <cols>
    <col min="1" max="1" width="8.81640625" customWidth="1"/>
    <col min="2" max="2" width="19.6328125" customWidth="1"/>
    <col min="3" max="3" width="8.81640625" customWidth="1"/>
    <col min="4" max="4" width="12.90625" customWidth="1"/>
    <col min="5" max="5" width="8.81640625" customWidth="1"/>
    <col min="6" max="6" width="11.81640625" customWidth="1"/>
    <col min="7" max="7" width="19.6328125" customWidth="1"/>
    <col min="8" max="8" width="24.6328125" customWidth="1"/>
    <col min="9" max="9" width="8.81640625" customWidth="1"/>
    <col min="10" max="10" width="14" customWidth="1"/>
    <col min="11" max="11" width="19.6328125" customWidth="1"/>
    <col min="12" max="12" width="21.90625" customWidth="1"/>
    <col min="13" max="16380" width="8.81640625" customWidth="1"/>
  </cols>
  <sheetData>
    <row r="2" spans="2:12" x14ac:dyDescent="0.25">
      <c r="D2" s="71"/>
      <c r="E2" s="71"/>
      <c r="F2" s="71"/>
      <c r="G2" s="71"/>
      <c r="H2" s="71"/>
      <c r="I2" s="71"/>
      <c r="J2" s="71"/>
      <c r="K2" s="71"/>
      <c r="L2" s="71"/>
    </row>
    <row r="3" spans="2:12" x14ac:dyDescent="0.25">
      <c r="B3" s="72" t="s">
        <v>627</v>
      </c>
      <c r="D3" s="191" t="s">
        <v>628</v>
      </c>
      <c r="F3" s="196" t="s">
        <v>629</v>
      </c>
      <c r="G3" s="197"/>
      <c r="H3" s="197"/>
      <c r="J3" s="73"/>
      <c r="K3" s="74" t="s">
        <v>630</v>
      </c>
      <c r="L3" s="75" t="s">
        <v>631</v>
      </c>
    </row>
    <row r="4" spans="2:12" x14ac:dyDescent="0.25">
      <c r="B4" s="72" t="s">
        <v>632</v>
      </c>
      <c r="D4" s="192"/>
      <c r="F4" s="197"/>
      <c r="G4" s="197"/>
      <c r="H4" s="197"/>
      <c r="J4" s="76" t="s">
        <v>633</v>
      </c>
      <c r="K4" s="72" t="s">
        <v>634</v>
      </c>
      <c r="L4" s="195" t="s">
        <v>635</v>
      </c>
    </row>
    <row r="5" spans="2:12" x14ac:dyDescent="0.25">
      <c r="B5" s="72" t="s">
        <v>636</v>
      </c>
      <c r="D5" s="192"/>
      <c r="F5" s="197"/>
      <c r="G5" s="197"/>
      <c r="H5" s="197"/>
      <c r="J5" s="76" t="s">
        <v>637</v>
      </c>
      <c r="K5" s="72" t="s">
        <v>638</v>
      </c>
      <c r="L5" s="194"/>
    </row>
    <row r="6" spans="2:12" x14ac:dyDescent="0.25">
      <c r="B6" s="72" t="s">
        <v>639</v>
      </c>
      <c r="D6" s="192"/>
      <c r="F6" s="197"/>
      <c r="G6" s="197"/>
      <c r="H6" s="197"/>
      <c r="J6" s="76" t="s">
        <v>640</v>
      </c>
      <c r="K6" s="72" t="s">
        <v>641</v>
      </c>
      <c r="L6" s="194"/>
    </row>
    <row r="7" spans="2:12" x14ac:dyDescent="0.25">
      <c r="B7" s="72" t="s">
        <v>642</v>
      </c>
      <c r="D7" s="192"/>
      <c r="F7" s="197"/>
      <c r="G7" s="197"/>
      <c r="H7" s="197"/>
      <c r="J7" s="76" t="s">
        <v>643</v>
      </c>
      <c r="K7" s="72" t="s">
        <v>636</v>
      </c>
      <c r="L7" s="194"/>
    </row>
    <row r="8" spans="2:12" x14ac:dyDescent="0.25">
      <c r="B8" s="72" t="s">
        <v>641</v>
      </c>
      <c r="D8" s="192"/>
      <c r="E8" s="71"/>
      <c r="F8" s="71"/>
      <c r="G8" s="71"/>
      <c r="H8" s="71"/>
      <c r="I8" s="71"/>
      <c r="J8" s="71"/>
      <c r="K8" s="71"/>
      <c r="L8" s="71"/>
    </row>
    <row r="9" spans="2:12" x14ac:dyDescent="0.25">
      <c r="B9" s="72" t="s">
        <v>644</v>
      </c>
      <c r="D9" s="192"/>
      <c r="F9" s="73"/>
      <c r="G9" s="74" t="s">
        <v>630</v>
      </c>
      <c r="H9" s="75" t="s">
        <v>631</v>
      </c>
      <c r="J9" s="73"/>
      <c r="K9" s="74" t="s">
        <v>630</v>
      </c>
      <c r="L9" s="75" t="s">
        <v>631</v>
      </c>
    </row>
    <row r="10" spans="2:12" x14ac:dyDescent="0.25">
      <c r="B10" s="72" t="s">
        <v>634</v>
      </c>
      <c r="D10" s="192"/>
      <c r="F10" s="76" t="s">
        <v>645</v>
      </c>
      <c r="G10" s="72" t="s">
        <v>627</v>
      </c>
      <c r="H10" s="194" t="s">
        <v>646</v>
      </c>
      <c r="J10" s="76" t="s">
        <v>647</v>
      </c>
      <c r="K10" s="72" t="s">
        <v>634</v>
      </c>
      <c r="L10" s="195" t="s">
        <v>648</v>
      </c>
    </row>
    <row r="11" spans="2:12" x14ac:dyDescent="0.25">
      <c r="B11" s="72" t="s">
        <v>638</v>
      </c>
      <c r="D11" s="192"/>
      <c r="F11" s="76" t="s">
        <v>649</v>
      </c>
      <c r="G11" s="72" t="s">
        <v>636</v>
      </c>
      <c r="H11" s="194"/>
      <c r="J11" s="76" t="s">
        <v>650</v>
      </c>
      <c r="K11" s="72" t="s">
        <v>651</v>
      </c>
      <c r="L11" s="194"/>
    </row>
    <row r="12" spans="2:12" x14ac:dyDescent="0.25">
      <c r="B12" s="72" t="s">
        <v>651</v>
      </c>
      <c r="D12" s="192"/>
      <c r="F12" s="76" t="s">
        <v>652</v>
      </c>
      <c r="G12" s="72" t="s">
        <v>642</v>
      </c>
      <c r="H12" s="194"/>
      <c r="J12" s="76" t="s">
        <v>653</v>
      </c>
      <c r="K12" s="72" t="s">
        <v>639</v>
      </c>
      <c r="L12" s="194"/>
    </row>
    <row r="13" spans="2:12" x14ac:dyDescent="0.25">
      <c r="D13" s="192"/>
      <c r="F13" s="76" t="s">
        <v>654</v>
      </c>
      <c r="G13" s="72" t="s">
        <v>632</v>
      </c>
      <c r="H13" s="194"/>
      <c r="J13" s="76" t="s">
        <v>655</v>
      </c>
      <c r="K13" s="72" t="s">
        <v>638</v>
      </c>
      <c r="L13" s="194"/>
    </row>
    <row r="14" spans="2:12" x14ac:dyDescent="0.25">
      <c r="D14" s="192"/>
      <c r="E14" s="71"/>
      <c r="F14" s="71"/>
      <c r="G14" s="71"/>
      <c r="H14" s="71"/>
      <c r="I14" s="71"/>
      <c r="J14" s="71"/>
      <c r="K14" s="71"/>
      <c r="L14" s="71"/>
    </row>
    <row r="15" spans="2:12" x14ac:dyDescent="0.25">
      <c r="D15" s="192"/>
      <c r="F15" s="73"/>
      <c r="G15" s="74" t="s">
        <v>630</v>
      </c>
      <c r="H15" s="75" t="s">
        <v>631</v>
      </c>
      <c r="J15" s="73"/>
      <c r="K15" s="74" t="s">
        <v>630</v>
      </c>
      <c r="L15" s="75" t="s">
        <v>631</v>
      </c>
    </row>
    <row r="16" spans="2:12" x14ac:dyDescent="0.25">
      <c r="D16" s="192"/>
      <c r="F16" s="76" t="s">
        <v>656</v>
      </c>
      <c r="G16" s="72" t="s">
        <v>644</v>
      </c>
      <c r="H16" s="194" t="s">
        <v>657</v>
      </c>
      <c r="J16" s="76" t="s">
        <v>658</v>
      </c>
      <c r="K16" s="72" t="s">
        <v>639</v>
      </c>
      <c r="L16" s="195" t="s">
        <v>659</v>
      </c>
    </row>
    <row r="17" spans="4:12" x14ac:dyDescent="0.25">
      <c r="D17" s="192"/>
      <c r="F17" s="76" t="s">
        <v>660</v>
      </c>
      <c r="G17" s="72" t="s">
        <v>627</v>
      </c>
      <c r="H17" s="194"/>
      <c r="J17" s="76" t="s">
        <v>661</v>
      </c>
      <c r="K17" s="72" t="s">
        <v>642</v>
      </c>
      <c r="L17" s="194"/>
    </row>
    <row r="18" spans="4:12" x14ac:dyDescent="0.25">
      <c r="D18" s="192"/>
      <c r="F18" s="76" t="s">
        <v>662</v>
      </c>
      <c r="G18" s="72" t="s">
        <v>632</v>
      </c>
      <c r="H18" s="194"/>
      <c r="J18" s="76" t="s">
        <v>663</v>
      </c>
      <c r="K18" s="72" t="s">
        <v>634</v>
      </c>
      <c r="L18" s="194"/>
    </row>
    <row r="19" spans="4:12" x14ac:dyDescent="0.25">
      <c r="D19" s="192"/>
      <c r="F19" s="76" t="s">
        <v>664</v>
      </c>
      <c r="G19" s="72" t="s">
        <v>639</v>
      </c>
      <c r="H19" s="194"/>
      <c r="J19" s="76" t="s">
        <v>665</v>
      </c>
      <c r="K19" s="72" t="s">
        <v>641</v>
      </c>
      <c r="L19" s="194"/>
    </row>
    <row r="20" spans="4:12" x14ac:dyDescent="0.25">
      <c r="D20" s="192"/>
      <c r="E20" s="71"/>
      <c r="F20" s="71"/>
      <c r="G20" s="71"/>
      <c r="H20" s="71"/>
      <c r="I20" s="71"/>
      <c r="J20" s="71"/>
      <c r="K20" s="71"/>
      <c r="L20" s="71"/>
    </row>
    <row r="21" spans="4:12" x14ac:dyDescent="0.25">
      <c r="D21" s="192"/>
      <c r="F21" s="73"/>
      <c r="G21" s="74" t="s">
        <v>630</v>
      </c>
      <c r="H21" s="75" t="s">
        <v>631</v>
      </c>
      <c r="J21" s="73"/>
      <c r="K21" s="74" t="s">
        <v>630</v>
      </c>
      <c r="L21" s="75" t="s">
        <v>631</v>
      </c>
    </row>
    <row r="22" spans="4:12" x14ac:dyDescent="0.25">
      <c r="D22" s="192"/>
      <c r="F22" s="76" t="s">
        <v>666</v>
      </c>
      <c r="G22" s="72" t="s">
        <v>642</v>
      </c>
      <c r="H22" s="194" t="s">
        <v>667</v>
      </c>
      <c r="J22" s="76" t="s">
        <v>668</v>
      </c>
      <c r="K22" s="72" t="s">
        <v>641</v>
      </c>
      <c r="L22" s="195" t="s">
        <v>669</v>
      </c>
    </row>
    <row r="23" spans="4:12" x14ac:dyDescent="0.25">
      <c r="D23" s="192"/>
      <c r="F23" s="76" t="s">
        <v>670</v>
      </c>
      <c r="G23" s="72" t="s">
        <v>644</v>
      </c>
      <c r="H23" s="194"/>
      <c r="J23" s="76" t="s">
        <v>671</v>
      </c>
      <c r="K23" s="72" t="s">
        <v>651</v>
      </c>
      <c r="L23" s="194"/>
    </row>
    <row r="24" spans="4:12" x14ac:dyDescent="0.25">
      <c r="D24" s="192"/>
      <c r="F24" s="76" t="s">
        <v>672</v>
      </c>
      <c r="G24" s="72" t="s">
        <v>636</v>
      </c>
      <c r="H24" s="194"/>
      <c r="J24" s="76" t="s">
        <v>673</v>
      </c>
      <c r="K24" s="72" t="s">
        <v>634</v>
      </c>
      <c r="L24" s="194"/>
    </row>
    <row r="25" spans="4:12" x14ac:dyDescent="0.25">
      <c r="D25" s="192"/>
      <c r="F25" s="76" t="s">
        <v>674</v>
      </c>
      <c r="G25" s="72" t="s">
        <v>627</v>
      </c>
      <c r="H25" s="194"/>
      <c r="J25" s="76" t="s">
        <v>675</v>
      </c>
      <c r="K25" s="72" t="s">
        <v>638</v>
      </c>
      <c r="L25" s="194"/>
    </row>
    <row r="26" spans="4:12" x14ac:dyDescent="0.25">
      <c r="D26" s="192"/>
      <c r="E26" s="71"/>
      <c r="F26" s="71"/>
      <c r="G26" s="71"/>
      <c r="H26" s="71"/>
      <c r="I26" s="71"/>
      <c r="J26" s="71"/>
      <c r="K26" s="71"/>
      <c r="L26" s="71"/>
    </row>
    <row r="27" spans="4:12" x14ac:dyDescent="0.25">
      <c r="D27" s="192"/>
      <c r="F27" s="73"/>
      <c r="G27" s="74" t="s">
        <v>630</v>
      </c>
      <c r="H27" s="75" t="s">
        <v>631</v>
      </c>
      <c r="J27" s="73"/>
      <c r="K27" s="74" t="s">
        <v>630</v>
      </c>
      <c r="L27" s="75" t="s">
        <v>631</v>
      </c>
    </row>
    <row r="28" spans="4:12" x14ac:dyDescent="0.25">
      <c r="D28" s="192"/>
      <c r="F28" s="76" t="s">
        <v>676</v>
      </c>
      <c r="G28" s="72" t="s">
        <v>642</v>
      </c>
      <c r="H28" s="194" t="s">
        <v>131</v>
      </c>
      <c r="J28" s="76" t="s">
        <v>677</v>
      </c>
      <c r="K28" s="72" t="s">
        <v>638</v>
      </c>
      <c r="L28" s="194" t="s">
        <v>678</v>
      </c>
    </row>
    <row r="29" spans="4:12" x14ac:dyDescent="0.25">
      <c r="D29" s="192"/>
      <c r="F29" s="76" t="s">
        <v>679</v>
      </c>
      <c r="G29" s="72" t="s">
        <v>632</v>
      </c>
      <c r="H29" s="194"/>
      <c r="J29" s="76" t="s">
        <v>680</v>
      </c>
      <c r="K29" s="72" t="s">
        <v>639</v>
      </c>
      <c r="L29" s="194"/>
    </row>
    <row r="30" spans="4:12" x14ac:dyDescent="0.25">
      <c r="D30" s="192"/>
      <c r="F30" s="76" t="s">
        <v>681</v>
      </c>
      <c r="G30" s="72" t="s">
        <v>627</v>
      </c>
      <c r="H30" s="194"/>
      <c r="J30" s="76" t="s">
        <v>682</v>
      </c>
      <c r="K30" s="72" t="s">
        <v>651</v>
      </c>
      <c r="L30" s="194"/>
    </row>
    <row r="31" spans="4:12" x14ac:dyDescent="0.25">
      <c r="D31" s="192"/>
      <c r="F31" s="76" t="s">
        <v>683</v>
      </c>
      <c r="G31" s="72" t="s">
        <v>644</v>
      </c>
      <c r="H31" s="194"/>
      <c r="J31" s="76" t="s">
        <v>684</v>
      </c>
      <c r="K31" s="72" t="s">
        <v>634</v>
      </c>
      <c r="L31" s="194"/>
    </row>
    <row r="32" spans="4:12" x14ac:dyDescent="0.25">
      <c r="D32" s="192"/>
      <c r="E32" s="71"/>
      <c r="F32" s="71"/>
      <c r="G32" s="71"/>
      <c r="H32" s="71"/>
      <c r="I32" s="71"/>
      <c r="J32" s="71"/>
      <c r="K32" s="71"/>
      <c r="L32" s="71"/>
    </row>
    <row r="33" spans="4:12" x14ac:dyDescent="0.25">
      <c r="D33" s="192"/>
      <c r="F33" s="73"/>
      <c r="G33" s="74" t="s">
        <v>630</v>
      </c>
      <c r="H33" s="75" t="s">
        <v>631</v>
      </c>
      <c r="J33" s="73"/>
      <c r="K33" s="74" t="s">
        <v>630</v>
      </c>
      <c r="L33" s="75" t="s">
        <v>631</v>
      </c>
    </row>
    <row r="34" spans="4:12" x14ac:dyDescent="0.25">
      <c r="D34" s="192"/>
      <c r="F34" s="76" t="s">
        <v>685</v>
      </c>
      <c r="G34" s="72" t="s">
        <v>632</v>
      </c>
      <c r="H34" s="195" t="s">
        <v>686</v>
      </c>
      <c r="J34" s="76" t="s">
        <v>687</v>
      </c>
      <c r="K34" s="72" t="s">
        <v>639</v>
      </c>
      <c r="L34" s="195" t="s">
        <v>688</v>
      </c>
    </row>
    <row r="35" spans="4:12" x14ac:dyDescent="0.25">
      <c r="D35" s="192"/>
      <c r="F35" s="76" t="s">
        <v>689</v>
      </c>
      <c r="G35" s="72" t="s">
        <v>641</v>
      </c>
      <c r="H35" s="194"/>
      <c r="J35" s="76" t="s">
        <v>690</v>
      </c>
      <c r="K35" s="72" t="s">
        <v>636</v>
      </c>
      <c r="L35" s="194"/>
    </row>
    <row r="36" spans="4:12" x14ac:dyDescent="0.25">
      <c r="D36" s="192"/>
      <c r="F36" s="76" t="s">
        <v>691</v>
      </c>
      <c r="G36" s="72" t="s">
        <v>644</v>
      </c>
      <c r="H36" s="194"/>
      <c r="J36" s="76" t="s">
        <v>692</v>
      </c>
      <c r="K36" t="s">
        <v>651</v>
      </c>
      <c r="L36" s="194"/>
    </row>
    <row r="37" spans="4:12" x14ac:dyDescent="0.25">
      <c r="D37" s="192"/>
      <c r="F37" s="76" t="s">
        <v>693</v>
      </c>
      <c r="G37" s="72" t="s">
        <v>642</v>
      </c>
      <c r="H37" s="194"/>
      <c r="J37" s="76" t="s">
        <v>694</v>
      </c>
      <c r="K37" s="72" t="s">
        <v>641</v>
      </c>
      <c r="L37" s="194"/>
    </row>
    <row r="38" spans="4:12" x14ac:dyDescent="0.25">
      <c r="D38" s="192"/>
      <c r="E38" s="71"/>
      <c r="F38" s="71"/>
      <c r="G38" s="71"/>
      <c r="H38" s="71"/>
      <c r="I38" s="71"/>
      <c r="J38" s="71"/>
      <c r="K38" s="71"/>
      <c r="L38" s="71"/>
    </row>
    <row r="39" spans="4:12" x14ac:dyDescent="0.25">
      <c r="D39" s="192"/>
      <c r="F39" s="73"/>
      <c r="G39" s="74" t="s">
        <v>630</v>
      </c>
      <c r="H39" s="75" t="s">
        <v>631</v>
      </c>
      <c r="J39" s="73"/>
      <c r="K39" s="74" t="s">
        <v>630</v>
      </c>
      <c r="L39" s="75" t="s">
        <v>631</v>
      </c>
    </row>
    <row r="40" spans="4:12" x14ac:dyDescent="0.25">
      <c r="D40" s="192"/>
      <c r="F40" s="76" t="s">
        <v>695</v>
      </c>
      <c r="G40" s="72" t="s">
        <v>636</v>
      </c>
      <c r="H40" s="195" t="s">
        <v>696</v>
      </c>
      <c r="J40" s="76" t="s">
        <v>697</v>
      </c>
      <c r="K40" s="72" t="s">
        <v>642</v>
      </c>
      <c r="L40" s="194" t="s">
        <v>698</v>
      </c>
    </row>
    <row r="41" spans="4:12" x14ac:dyDescent="0.25">
      <c r="D41" s="192"/>
      <c r="F41" s="76" t="s">
        <v>699</v>
      </c>
      <c r="G41" s="72" t="s">
        <v>639</v>
      </c>
      <c r="H41" s="194"/>
      <c r="J41" s="76" t="s">
        <v>700</v>
      </c>
      <c r="K41" s="72" t="s">
        <v>639</v>
      </c>
      <c r="L41" s="194"/>
    </row>
    <row r="42" spans="4:12" x14ac:dyDescent="0.25">
      <c r="D42" s="192"/>
      <c r="F42" s="76" t="s">
        <v>701</v>
      </c>
      <c r="G42" s="72" t="s">
        <v>642</v>
      </c>
      <c r="H42" s="194"/>
      <c r="J42" s="76" t="s">
        <v>702</v>
      </c>
      <c r="K42" s="72" t="s">
        <v>638</v>
      </c>
      <c r="L42" s="194"/>
    </row>
    <row r="43" spans="4:12" x14ac:dyDescent="0.25">
      <c r="D43" s="192"/>
      <c r="F43" s="76" t="s">
        <v>703</v>
      </c>
      <c r="G43" s="72" t="s">
        <v>627</v>
      </c>
      <c r="H43" s="194"/>
      <c r="J43" s="76" t="s">
        <v>704</v>
      </c>
      <c r="K43" s="72" t="s">
        <v>651</v>
      </c>
      <c r="L43" s="194"/>
    </row>
    <row r="44" spans="4:12" x14ac:dyDescent="0.25">
      <c r="D44" s="192"/>
      <c r="F44" s="71"/>
      <c r="G44" s="71"/>
      <c r="H44" s="71"/>
      <c r="I44" s="71"/>
      <c r="J44" s="71"/>
      <c r="K44" s="71"/>
      <c r="L44" s="71"/>
    </row>
    <row r="45" spans="4:12" x14ac:dyDescent="0.25">
      <c r="D45" s="192"/>
      <c r="F45" s="73"/>
      <c r="G45" s="74" t="s">
        <v>630</v>
      </c>
      <c r="H45" s="75" t="s">
        <v>631</v>
      </c>
      <c r="J45" s="73"/>
      <c r="K45" s="74" t="s">
        <v>630</v>
      </c>
      <c r="L45" s="75" t="s">
        <v>631</v>
      </c>
    </row>
    <row r="46" spans="4:12" x14ac:dyDescent="0.25">
      <c r="D46" s="192"/>
      <c r="F46" s="76" t="s">
        <v>705</v>
      </c>
      <c r="G46" s="72" t="s">
        <v>651</v>
      </c>
      <c r="H46" s="195" t="s">
        <v>706</v>
      </c>
      <c r="J46" s="76" t="s">
        <v>707</v>
      </c>
      <c r="K46" s="72" t="s">
        <v>641</v>
      </c>
      <c r="L46" s="195" t="s">
        <v>708</v>
      </c>
    </row>
    <row r="47" spans="4:12" x14ac:dyDescent="0.25">
      <c r="D47" s="192"/>
      <c r="F47" s="76" t="s">
        <v>709</v>
      </c>
      <c r="G47" s="72" t="s">
        <v>638</v>
      </c>
      <c r="H47" s="194"/>
      <c r="J47" s="76" t="s">
        <v>710</v>
      </c>
      <c r="K47" s="72" t="s">
        <v>634</v>
      </c>
      <c r="L47" s="194"/>
    </row>
    <row r="48" spans="4:12" x14ac:dyDescent="0.25">
      <c r="D48" s="192"/>
      <c r="F48" s="76" t="s">
        <v>711</v>
      </c>
      <c r="G48" s="72" t="s">
        <v>634</v>
      </c>
      <c r="H48" s="194"/>
      <c r="J48" s="76" t="s">
        <v>712</v>
      </c>
      <c r="K48" s="72" t="s">
        <v>642</v>
      </c>
      <c r="L48" s="194"/>
    </row>
    <row r="49" spans="4:12" x14ac:dyDescent="0.25">
      <c r="D49" s="193"/>
      <c r="F49" s="76" t="s">
        <v>713</v>
      </c>
      <c r="G49" s="72" t="s">
        <v>641</v>
      </c>
      <c r="H49" s="194"/>
      <c r="J49" s="76" t="s">
        <v>714</v>
      </c>
      <c r="K49" s="72" t="s">
        <v>636</v>
      </c>
      <c r="L49" s="194"/>
    </row>
    <row r="50" spans="4:12" x14ac:dyDescent="0.25">
      <c r="D50" s="71"/>
      <c r="E50" s="71"/>
      <c r="F50" s="71"/>
      <c r="G50" s="71"/>
      <c r="H50" s="71"/>
      <c r="I50" s="71"/>
      <c r="J50" s="71"/>
      <c r="K50" s="71"/>
      <c r="L50" s="71"/>
    </row>
  </sheetData>
  <mergeCells count="17">
    <mergeCell ref="L34:L37"/>
    <mergeCell ref="L40:L43"/>
    <mergeCell ref="L46:L49"/>
    <mergeCell ref="F3:H7"/>
    <mergeCell ref="L4:L7"/>
    <mergeCell ref="L10:L13"/>
    <mergeCell ref="L16:L19"/>
    <mergeCell ref="L22:L25"/>
    <mergeCell ref="L28:L31"/>
    <mergeCell ref="D3:D49"/>
    <mergeCell ref="H10:H13"/>
    <mergeCell ref="H16:H19"/>
    <mergeCell ref="H22:H25"/>
    <mergeCell ref="H28:H31"/>
    <mergeCell ref="H34:H37"/>
    <mergeCell ref="H40:H43"/>
    <mergeCell ref="H46:H49"/>
  </mergeCells>
  <phoneticPr fontId="11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152"/>
  <sheetViews>
    <sheetView topLeftCell="B1" workbookViewId="0">
      <selection activeCell="A9" sqref="A9:Y10"/>
    </sheetView>
  </sheetViews>
  <sheetFormatPr defaultColWidth="8.7265625" defaultRowHeight="14" x14ac:dyDescent="0.25"/>
  <cols>
    <col min="1" max="1" width="18.54296875" style="4" customWidth="1"/>
    <col min="2" max="2" width="26.36328125" style="4" customWidth="1"/>
    <col min="3" max="3" width="18.54296875" style="47" customWidth="1"/>
    <col min="4" max="4" width="5.54296875" style="5" customWidth="1"/>
    <col min="5" max="5" width="11.81640625" style="48" customWidth="1"/>
    <col min="6" max="6" width="6.54296875" style="5" customWidth="1"/>
    <col min="7" max="7" width="18.54296875" style="48" customWidth="1"/>
    <col min="8" max="8" width="6.54296875" style="5" customWidth="1"/>
    <col min="9" max="9" width="5.54296875" style="5" customWidth="1"/>
    <col min="10" max="10" width="17.36328125" style="48" customWidth="1"/>
    <col min="11" max="11" width="6.54296875" style="5" customWidth="1"/>
    <col min="12" max="12" width="15.1796875" style="48" customWidth="1"/>
    <col min="13" max="13" width="6.54296875" style="5" customWidth="1"/>
    <col min="14" max="14" width="5.54296875" style="5" customWidth="1"/>
    <col min="15" max="15" width="16.26953125" style="48" customWidth="1"/>
    <col min="16" max="16" width="6.54296875" style="5" customWidth="1"/>
    <col min="17" max="17" width="16.26953125" style="48" customWidth="1"/>
    <col min="18" max="18" width="6.54296875" style="5" customWidth="1"/>
    <col min="19" max="19" width="5.54296875" style="5" customWidth="1"/>
    <col min="20" max="20" width="18.54296875" style="48" customWidth="1"/>
    <col min="21" max="21" width="6.54296875" style="5" customWidth="1"/>
    <col min="22" max="22" width="18.54296875" style="48" customWidth="1"/>
    <col min="23" max="23" width="6.54296875" style="5" customWidth="1"/>
    <col min="24" max="24" width="6.54296875" style="47" customWidth="1"/>
    <col min="25" max="25" width="20.81640625" style="48" customWidth="1"/>
    <col min="26" max="16384" width="8.7265625" style="4"/>
  </cols>
  <sheetData>
    <row r="1" spans="1:25" x14ac:dyDescent="0.25">
      <c r="B1" s="47"/>
      <c r="F1" s="47"/>
      <c r="H1" s="48"/>
      <c r="I1" s="47"/>
      <c r="K1" s="48"/>
      <c r="L1" s="47"/>
      <c r="M1" s="47"/>
      <c r="N1" s="48"/>
      <c r="O1" s="4"/>
      <c r="P1" s="48"/>
      <c r="R1" s="48"/>
      <c r="S1" s="48"/>
      <c r="U1" s="48"/>
      <c r="W1" s="48"/>
    </row>
    <row r="2" spans="1:25" x14ac:dyDescent="0.25">
      <c r="A2" s="152" t="s">
        <v>715</v>
      </c>
      <c r="B2" s="152"/>
      <c r="C2" s="152"/>
      <c r="D2" s="152"/>
      <c r="E2" s="152"/>
      <c r="F2" s="47"/>
      <c r="H2" s="48"/>
      <c r="I2" s="47"/>
      <c r="K2" s="48"/>
      <c r="L2" s="47"/>
      <c r="M2" s="47"/>
      <c r="N2" s="48"/>
      <c r="O2" s="4"/>
      <c r="P2" s="48"/>
      <c r="R2" s="48"/>
      <c r="S2" s="48"/>
      <c r="U2" s="48"/>
      <c r="W2" s="48"/>
    </row>
    <row r="3" spans="1:25" x14ac:dyDescent="0.25">
      <c r="A3" s="50" t="s">
        <v>716</v>
      </c>
      <c r="B3" s="50" t="s">
        <v>717</v>
      </c>
      <c r="C3" s="50" t="s">
        <v>718</v>
      </c>
      <c r="D3" s="51"/>
      <c r="E3" s="51"/>
      <c r="F3" s="4"/>
      <c r="G3" s="4"/>
      <c r="H3" s="47"/>
      <c r="I3" s="47"/>
      <c r="K3" s="48"/>
      <c r="L3" s="47"/>
      <c r="M3" s="47"/>
      <c r="N3" s="48"/>
      <c r="O3" s="4"/>
      <c r="P3" s="48"/>
      <c r="R3" s="48"/>
      <c r="U3" s="48"/>
      <c r="W3" s="48"/>
    </row>
    <row r="4" spans="1:25" x14ac:dyDescent="0.25">
      <c r="A4" s="52">
        <v>2</v>
      </c>
      <c r="B4" s="52" t="s">
        <v>73</v>
      </c>
      <c r="C4" s="52" t="s">
        <v>431</v>
      </c>
      <c r="D4" s="52" t="s">
        <v>719</v>
      </c>
      <c r="E4" s="52" t="s">
        <v>720</v>
      </c>
      <c r="F4" s="4"/>
      <c r="G4" s="4"/>
      <c r="H4" s="47"/>
      <c r="I4" s="47"/>
      <c r="K4" s="48"/>
      <c r="L4" s="47"/>
      <c r="M4" s="47"/>
      <c r="N4" s="48"/>
      <c r="O4" s="4"/>
      <c r="P4" s="48"/>
      <c r="R4" s="48"/>
      <c r="S4" s="48"/>
      <c r="U4" s="48"/>
      <c r="W4" s="48"/>
    </row>
    <row r="5" spans="1:25" x14ac:dyDescent="0.25">
      <c r="A5" s="52">
        <v>2</v>
      </c>
      <c r="B5" s="52" t="s">
        <v>81</v>
      </c>
      <c r="C5" s="52" t="s">
        <v>721</v>
      </c>
      <c r="D5" s="52" t="s">
        <v>722</v>
      </c>
      <c r="E5" s="53" t="s">
        <v>723</v>
      </c>
      <c r="F5" s="4"/>
      <c r="G5" s="4"/>
      <c r="H5" s="47"/>
      <c r="I5" s="47"/>
      <c r="K5" s="48"/>
      <c r="L5" s="47"/>
      <c r="M5" s="47"/>
      <c r="N5" s="48"/>
      <c r="O5" s="4"/>
      <c r="P5" s="48"/>
      <c r="R5" s="48"/>
      <c r="S5" s="48"/>
      <c r="U5" s="48"/>
      <c r="W5" s="48"/>
    </row>
    <row r="6" spans="1:25" x14ac:dyDescent="0.25">
      <c r="A6" s="52">
        <v>5</v>
      </c>
      <c r="B6" s="52" t="s">
        <v>431</v>
      </c>
      <c r="C6" s="52" t="s">
        <v>604</v>
      </c>
      <c r="D6" s="52" t="s">
        <v>724</v>
      </c>
      <c r="E6" s="52" t="s">
        <v>725</v>
      </c>
      <c r="F6" s="4"/>
      <c r="G6" s="4"/>
      <c r="H6" s="47"/>
      <c r="I6" s="47"/>
      <c r="J6" s="4"/>
      <c r="K6" s="4"/>
      <c r="L6" s="4"/>
      <c r="M6" s="4"/>
      <c r="N6" s="47"/>
      <c r="O6" s="4"/>
      <c r="P6" s="48"/>
      <c r="R6" s="48"/>
      <c r="S6" s="48"/>
      <c r="U6" s="48"/>
      <c r="W6" s="48"/>
    </row>
    <row r="7" spans="1:25" x14ac:dyDescent="0.25">
      <c r="C7" s="4"/>
      <c r="D7" s="48"/>
      <c r="F7" s="47"/>
      <c r="H7" s="48"/>
      <c r="I7" s="4"/>
      <c r="J7" s="4"/>
      <c r="K7" s="4"/>
      <c r="L7" s="4"/>
      <c r="M7" s="4"/>
      <c r="N7" s="4"/>
      <c r="O7" s="4"/>
      <c r="P7" s="4"/>
      <c r="Q7" s="4"/>
      <c r="R7" s="4"/>
      <c r="S7" s="48"/>
      <c r="U7" s="48"/>
      <c r="W7" s="48"/>
    </row>
    <row r="8" spans="1:25" x14ac:dyDescent="0.25">
      <c r="C8" s="4"/>
      <c r="D8" s="48"/>
      <c r="F8" s="47"/>
      <c r="G8" s="47"/>
      <c r="H8" s="47"/>
      <c r="I8" s="4"/>
      <c r="J8" s="4"/>
      <c r="K8" s="4"/>
      <c r="L8" s="4"/>
      <c r="M8" s="4"/>
      <c r="N8" s="4"/>
      <c r="O8" s="4"/>
      <c r="P8" s="4"/>
      <c r="Q8" s="4"/>
      <c r="R8" s="4"/>
      <c r="S8" s="48"/>
      <c r="U8" s="48"/>
      <c r="W8" s="48"/>
    </row>
    <row r="9" spans="1:25" x14ac:dyDescent="0.25">
      <c r="A9" s="154" t="s">
        <v>726</v>
      </c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4"/>
      <c r="O9" s="154"/>
      <c r="P9" s="154"/>
      <c r="Q9" s="154"/>
      <c r="R9" s="154"/>
      <c r="S9" s="154"/>
      <c r="T9" s="154"/>
      <c r="U9" s="154"/>
      <c r="V9" s="154"/>
      <c r="W9" s="154"/>
      <c r="X9" s="154"/>
      <c r="Y9" s="154"/>
    </row>
    <row r="10" spans="1:25" x14ac:dyDescent="0.25">
      <c r="A10" s="154"/>
      <c r="B10" s="154"/>
      <c r="C10" s="154"/>
      <c r="D10" s="154"/>
      <c r="E10" s="154"/>
      <c r="F10" s="154"/>
      <c r="G10" s="154"/>
      <c r="H10" s="154"/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4"/>
      <c r="U10" s="154"/>
      <c r="V10" s="154"/>
      <c r="W10" s="154"/>
      <c r="X10" s="154"/>
      <c r="Y10" s="154"/>
    </row>
    <row r="11" spans="1:25" x14ac:dyDescent="0.25">
      <c r="A11" s="47"/>
      <c r="B11" s="153" t="s">
        <v>727</v>
      </c>
      <c r="C11" s="153"/>
      <c r="D11" s="48"/>
      <c r="F11" s="48"/>
      <c r="H11" s="48"/>
      <c r="I11" s="48"/>
      <c r="K11" s="48"/>
      <c r="M11" s="48"/>
      <c r="N11" s="48"/>
      <c r="P11" s="48"/>
      <c r="R11" s="48"/>
      <c r="S11" s="48"/>
      <c r="U11" s="48"/>
      <c r="W11" s="48"/>
    </row>
    <row r="12" spans="1:25" x14ac:dyDescent="0.25">
      <c r="A12" s="48" t="s">
        <v>728</v>
      </c>
      <c r="B12" s="54" t="s">
        <v>729</v>
      </c>
      <c r="C12" s="54" t="s">
        <v>730</v>
      </c>
      <c r="D12" s="55" t="s">
        <v>731</v>
      </c>
      <c r="E12" s="56" t="s">
        <v>732</v>
      </c>
      <c r="F12" s="56" t="s">
        <v>733</v>
      </c>
      <c r="G12" s="56" t="s">
        <v>732</v>
      </c>
      <c r="H12" s="56" t="s">
        <v>733</v>
      </c>
      <c r="I12" s="55" t="s">
        <v>731</v>
      </c>
      <c r="J12" s="56" t="s">
        <v>734</v>
      </c>
      <c r="K12" s="56" t="s">
        <v>733</v>
      </c>
      <c r="L12" s="56" t="s">
        <v>734</v>
      </c>
      <c r="M12" s="56" t="s">
        <v>733</v>
      </c>
      <c r="N12" s="55" t="s">
        <v>731</v>
      </c>
      <c r="O12" s="56" t="s">
        <v>735</v>
      </c>
      <c r="P12" s="56" t="s">
        <v>733</v>
      </c>
      <c r="Q12" s="56" t="s">
        <v>735</v>
      </c>
      <c r="R12" s="56" t="s">
        <v>733</v>
      </c>
      <c r="S12" s="55" t="s">
        <v>731</v>
      </c>
      <c r="T12" s="56" t="s">
        <v>736</v>
      </c>
      <c r="U12" s="56" t="s">
        <v>733</v>
      </c>
      <c r="V12" s="56" t="s">
        <v>736</v>
      </c>
      <c r="W12" s="56" t="s">
        <v>733</v>
      </c>
      <c r="Y12" s="57" t="s">
        <v>737</v>
      </c>
    </row>
    <row r="13" spans="1:25" x14ac:dyDescent="0.25">
      <c r="A13" s="47"/>
      <c r="B13" s="47"/>
      <c r="D13" s="48"/>
      <c r="F13" s="48"/>
      <c r="H13" s="48"/>
      <c r="I13" s="48"/>
      <c r="K13" s="48"/>
      <c r="M13" s="48"/>
      <c r="N13" s="48"/>
      <c r="P13" s="48"/>
      <c r="R13" s="48"/>
      <c r="S13" s="48"/>
      <c r="U13" s="48"/>
      <c r="W13" s="48"/>
    </row>
    <row r="14" spans="1:25" x14ac:dyDescent="0.25">
      <c r="A14" s="48" t="s">
        <v>738</v>
      </c>
      <c r="B14" s="4" t="s">
        <v>739</v>
      </c>
      <c r="C14" s="4" t="s">
        <v>740</v>
      </c>
      <c r="D14" s="55">
        <v>1</v>
      </c>
      <c r="E14" s="58" t="s">
        <v>741</v>
      </c>
      <c r="F14" s="48">
        <v>1</v>
      </c>
      <c r="G14" s="58" t="s">
        <v>742</v>
      </c>
      <c r="H14" s="5" t="s">
        <v>743</v>
      </c>
      <c r="I14" s="55">
        <v>1</v>
      </c>
      <c r="J14" s="58" t="s">
        <v>744</v>
      </c>
      <c r="K14" s="48">
        <v>1</v>
      </c>
      <c r="L14" s="58" t="s">
        <v>742</v>
      </c>
      <c r="M14" s="5" t="s">
        <v>743</v>
      </c>
      <c r="N14" s="55">
        <v>1</v>
      </c>
      <c r="O14" s="58" t="s">
        <v>745</v>
      </c>
      <c r="P14" s="48">
        <v>1</v>
      </c>
      <c r="Q14" s="58" t="s">
        <v>742</v>
      </c>
      <c r="R14" s="5" t="s">
        <v>743</v>
      </c>
      <c r="S14" s="55">
        <v>1</v>
      </c>
      <c r="T14" s="5" t="s">
        <v>746</v>
      </c>
      <c r="U14" s="48">
        <v>1</v>
      </c>
      <c r="V14" s="58" t="s">
        <v>742</v>
      </c>
      <c r="W14" s="5" t="s">
        <v>743</v>
      </c>
    </row>
    <row r="15" spans="1:25" x14ac:dyDescent="0.25">
      <c r="A15" s="48" t="s">
        <v>738</v>
      </c>
      <c r="B15" s="59" t="s">
        <v>739</v>
      </c>
      <c r="C15" s="59" t="s">
        <v>747</v>
      </c>
      <c r="D15" s="55">
        <v>1</v>
      </c>
      <c r="E15" s="58" t="s">
        <v>748</v>
      </c>
      <c r="F15" s="48">
        <v>1</v>
      </c>
      <c r="G15" s="58" t="s">
        <v>742</v>
      </c>
      <c r="H15" s="5" t="s">
        <v>743</v>
      </c>
      <c r="I15" s="55">
        <v>1</v>
      </c>
      <c r="J15" s="58" t="s">
        <v>289</v>
      </c>
      <c r="K15" s="48">
        <v>1</v>
      </c>
      <c r="L15" s="58" t="s">
        <v>742</v>
      </c>
      <c r="M15" s="5" t="s">
        <v>743</v>
      </c>
      <c r="N15" s="55">
        <v>1</v>
      </c>
      <c r="O15" s="58" t="s">
        <v>281</v>
      </c>
      <c r="P15" s="48">
        <v>1</v>
      </c>
      <c r="Q15" s="58" t="s">
        <v>742</v>
      </c>
      <c r="R15" s="5" t="s">
        <v>743</v>
      </c>
      <c r="S15" s="55">
        <v>1</v>
      </c>
      <c r="T15" s="58" t="s">
        <v>749</v>
      </c>
      <c r="U15" s="48">
        <v>1</v>
      </c>
      <c r="V15" s="58" t="s">
        <v>742</v>
      </c>
      <c r="W15" s="5" t="s">
        <v>743</v>
      </c>
    </row>
    <row r="16" spans="1:25" x14ac:dyDescent="0.25">
      <c r="A16" s="48" t="s">
        <v>738</v>
      </c>
      <c r="B16" s="4" t="s">
        <v>739</v>
      </c>
      <c r="C16" s="4" t="s">
        <v>750</v>
      </c>
      <c r="D16" s="55">
        <v>1</v>
      </c>
      <c r="E16" s="58" t="s">
        <v>751</v>
      </c>
      <c r="F16" s="5">
        <v>1</v>
      </c>
      <c r="G16" s="58" t="s">
        <v>742</v>
      </c>
      <c r="H16" s="5" t="s">
        <v>743</v>
      </c>
      <c r="I16" s="55">
        <v>1</v>
      </c>
      <c r="J16" s="58" t="s">
        <v>752</v>
      </c>
      <c r="K16" s="48">
        <v>1</v>
      </c>
      <c r="L16" s="58" t="s">
        <v>742</v>
      </c>
      <c r="M16" s="5" t="s">
        <v>743</v>
      </c>
      <c r="N16" s="55">
        <v>1</v>
      </c>
      <c r="O16" s="58" t="s">
        <v>277</v>
      </c>
      <c r="P16" s="48">
        <v>1</v>
      </c>
      <c r="Q16" s="58" t="s">
        <v>742</v>
      </c>
      <c r="R16" s="5" t="s">
        <v>743</v>
      </c>
      <c r="S16" s="55">
        <v>1</v>
      </c>
      <c r="T16" s="58" t="s">
        <v>753</v>
      </c>
      <c r="U16" s="48">
        <v>1</v>
      </c>
      <c r="V16" s="58" t="s">
        <v>742</v>
      </c>
      <c r="W16" s="5" t="s">
        <v>743</v>
      </c>
    </row>
    <row r="17" spans="1:25" x14ac:dyDescent="0.25">
      <c r="A17" s="47"/>
      <c r="B17" s="47"/>
      <c r="D17" s="48"/>
      <c r="F17" s="48"/>
      <c r="G17" s="60"/>
      <c r="H17" s="48"/>
      <c r="I17" s="48"/>
      <c r="K17" s="48"/>
      <c r="L17" s="60"/>
      <c r="M17" s="48"/>
      <c r="N17" s="48"/>
      <c r="P17" s="48"/>
      <c r="Q17" s="60"/>
      <c r="R17" s="48"/>
      <c r="S17" s="48"/>
      <c r="U17" s="48"/>
      <c r="V17" s="60"/>
      <c r="W17" s="48"/>
    </row>
    <row r="18" spans="1:25" x14ac:dyDescent="0.25">
      <c r="A18" s="48">
        <v>0</v>
      </c>
      <c r="B18" s="59" t="s">
        <v>754</v>
      </c>
      <c r="C18" s="59" t="s">
        <v>755</v>
      </c>
      <c r="D18" s="55">
        <v>4</v>
      </c>
      <c r="E18" s="61" t="s">
        <v>756</v>
      </c>
      <c r="F18" s="62" t="s">
        <v>65</v>
      </c>
      <c r="G18" s="61" t="s">
        <v>742</v>
      </c>
      <c r="H18" s="62" t="s">
        <v>743</v>
      </c>
      <c r="I18" s="55">
        <v>4</v>
      </c>
      <c r="J18" s="61" t="s">
        <v>321</v>
      </c>
      <c r="K18" s="62">
        <v>1</v>
      </c>
      <c r="L18" s="61" t="s">
        <v>742</v>
      </c>
      <c r="M18" s="62" t="s">
        <v>743</v>
      </c>
      <c r="N18" s="55">
        <v>4</v>
      </c>
      <c r="O18" s="61" t="s">
        <v>746</v>
      </c>
      <c r="P18" s="62" t="s">
        <v>64</v>
      </c>
      <c r="Q18" s="61" t="s">
        <v>742</v>
      </c>
      <c r="R18" s="62" t="s">
        <v>743</v>
      </c>
      <c r="S18" s="55">
        <v>4</v>
      </c>
      <c r="T18" s="61" t="s">
        <v>757</v>
      </c>
      <c r="U18" s="62">
        <v>2</v>
      </c>
      <c r="V18" s="61" t="s">
        <v>742</v>
      </c>
      <c r="W18" s="62" t="s">
        <v>743</v>
      </c>
    </row>
    <row r="19" spans="1:25" x14ac:dyDescent="0.25">
      <c r="A19" s="48">
        <v>0</v>
      </c>
      <c r="B19" s="47" t="s">
        <v>758</v>
      </c>
      <c r="C19" s="47" t="s">
        <v>759</v>
      </c>
      <c r="D19" s="48">
        <v>4</v>
      </c>
      <c r="E19" s="60" t="s">
        <v>760</v>
      </c>
      <c r="F19" s="48">
        <v>2</v>
      </c>
      <c r="G19" s="58" t="s">
        <v>742</v>
      </c>
      <c r="H19" s="5" t="s">
        <v>743</v>
      </c>
      <c r="I19" s="48">
        <v>3</v>
      </c>
      <c r="J19" s="60" t="s">
        <v>761</v>
      </c>
      <c r="K19" s="48">
        <v>1</v>
      </c>
      <c r="L19" s="48" t="s">
        <v>762</v>
      </c>
      <c r="M19" s="48">
        <v>1</v>
      </c>
      <c r="N19" s="48">
        <v>2</v>
      </c>
      <c r="O19" s="60" t="s">
        <v>761</v>
      </c>
      <c r="P19" s="48">
        <v>2</v>
      </c>
      <c r="Q19" s="60" t="s">
        <v>742</v>
      </c>
      <c r="R19" s="48" t="s">
        <v>743</v>
      </c>
      <c r="S19" s="48">
        <v>4</v>
      </c>
      <c r="T19" s="48" t="s">
        <v>762</v>
      </c>
      <c r="U19" s="48" t="s">
        <v>65</v>
      </c>
      <c r="V19" s="58" t="s">
        <v>742</v>
      </c>
      <c r="W19" s="5" t="s">
        <v>743</v>
      </c>
    </row>
    <row r="20" spans="1:25" x14ac:dyDescent="0.25">
      <c r="A20" s="48" t="s">
        <v>575</v>
      </c>
      <c r="B20" s="59" t="s">
        <v>763</v>
      </c>
      <c r="C20" s="59" t="s">
        <v>764</v>
      </c>
      <c r="D20" s="55">
        <v>4</v>
      </c>
      <c r="E20" s="61" t="s">
        <v>765</v>
      </c>
      <c r="F20" s="62">
        <v>1</v>
      </c>
      <c r="G20" s="61" t="s">
        <v>742</v>
      </c>
      <c r="H20" s="62" t="s">
        <v>743</v>
      </c>
      <c r="I20" s="55">
        <v>4</v>
      </c>
      <c r="J20" s="61" t="s">
        <v>766</v>
      </c>
      <c r="K20" s="62">
        <v>1</v>
      </c>
      <c r="L20" s="61" t="s">
        <v>742</v>
      </c>
      <c r="M20" s="62" t="s">
        <v>743</v>
      </c>
      <c r="N20" s="55">
        <v>4</v>
      </c>
      <c r="O20" s="61" t="s">
        <v>767</v>
      </c>
      <c r="P20" s="62">
        <v>1</v>
      </c>
      <c r="Q20" s="61" t="s">
        <v>742</v>
      </c>
      <c r="R20" s="62" t="s">
        <v>743</v>
      </c>
      <c r="S20" s="55">
        <v>3</v>
      </c>
      <c r="T20" s="61" t="s">
        <v>311</v>
      </c>
      <c r="U20" s="62">
        <v>1</v>
      </c>
      <c r="V20" s="61" t="s">
        <v>742</v>
      </c>
      <c r="W20" s="62" t="s">
        <v>743</v>
      </c>
    </row>
    <row r="21" spans="1:25" x14ac:dyDescent="0.25">
      <c r="A21" s="48">
        <v>0</v>
      </c>
      <c r="B21" s="47" t="s">
        <v>768</v>
      </c>
      <c r="C21" s="47" t="s">
        <v>769</v>
      </c>
      <c r="D21" s="48">
        <v>4</v>
      </c>
      <c r="E21" s="60" t="s">
        <v>767</v>
      </c>
      <c r="F21" s="48">
        <v>1</v>
      </c>
      <c r="G21" s="58" t="s">
        <v>742</v>
      </c>
      <c r="H21" s="5" t="s">
        <v>743</v>
      </c>
      <c r="I21" s="48">
        <v>3</v>
      </c>
      <c r="J21" s="60" t="s">
        <v>744</v>
      </c>
      <c r="K21" s="48" t="s">
        <v>64</v>
      </c>
      <c r="L21" s="60" t="s">
        <v>770</v>
      </c>
      <c r="M21" s="48">
        <v>1</v>
      </c>
      <c r="N21" s="48">
        <v>4</v>
      </c>
      <c r="O21" s="60" t="s">
        <v>744</v>
      </c>
      <c r="P21" s="48" t="s">
        <v>64</v>
      </c>
      <c r="Q21" s="60" t="s">
        <v>742</v>
      </c>
      <c r="R21" s="48" t="s">
        <v>743</v>
      </c>
      <c r="S21" s="48">
        <v>4</v>
      </c>
      <c r="T21" s="60" t="s">
        <v>745</v>
      </c>
      <c r="U21" s="48">
        <v>1</v>
      </c>
      <c r="V21" s="58" t="s">
        <v>742</v>
      </c>
      <c r="W21" s="5" t="s">
        <v>743</v>
      </c>
    </row>
    <row r="22" spans="1:25" x14ac:dyDescent="0.25">
      <c r="A22" s="48">
        <v>0</v>
      </c>
      <c r="B22" s="59" t="s">
        <v>771</v>
      </c>
      <c r="C22" s="59" t="s">
        <v>772</v>
      </c>
      <c r="D22" s="55">
        <v>4</v>
      </c>
      <c r="E22" s="61" t="s">
        <v>749</v>
      </c>
      <c r="F22" s="62">
        <v>1</v>
      </c>
      <c r="G22" s="61" t="s">
        <v>742</v>
      </c>
      <c r="H22" s="62" t="s">
        <v>743</v>
      </c>
      <c r="I22" s="55">
        <v>3</v>
      </c>
      <c r="J22" s="61" t="s">
        <v>773</v>
      </c>
      <c r="K22" s="62">
        <v>1</v>
      </c>
      <c r="L22" s="61" t="s">
        <v>774</v>
      </c>
      <c r="M22" s="62">
        <v>1</v>
      </c>
      <c r="N22" s="55">
        <v>3</v>
      </c>
      <c r="O22" s="61" t="s">
        <v>289</v>
      </c>
      <c r="P22" s="62">
        <v>1</v>
      </c>
      <c r="Q22" s="61" t="s">
        <v>741</v>
      </c>
      <c r="R22" s="62">
        <v>1</v>
      </c>
      <c r="S22" s="55">
        <v>4</v>
      </c>
      <c r="T22" s="61" t="s">
        <v>775</v>
      </c>
      <c r="U22" s="62">
        <v>1</v>
      </c>
      <c r="V22" s="61" t="s">
        <v>742</v>
      </c>
      <c r="W22" s="62" t="s">
        <v>743</v>
      </c>
    </row>
    <row r="23" spans="1:25" x14ac:dyDescent="0.25">
      <c r="A23" s="48">
        <v>0</v>
      </c>
      <c r="B23" s="47" t="s">
        <v>776</v>
      </c>
      <c r="C23" s="47" t="s">
        <v>777</v>
      </c>
      <c r="D23" s="48">
        <v>4</v>
      </c>
      <c r="E23" s="60" t="s">
        <v>778</v>
      </c>
      <c r="F23" s="48">
        <v>1</v>
      </c>
      <c r="G23" s="60" t="s">
        <v>742</v>
      </c>
      <c r="H23" s="48" t="s">
        <v>743</v>
      </c>
      <c r="I23" s="48">
        <v>2</v>
      </c>
      <c r="J23" s="60" t="s">
        <v>289</v>
      </c>
      <c r="K23" s="48">
        <v>1</v>
      </c>
      <c r="L23" s="60" t="s">
        <v>779</v>
      </c>
      <c r="M23" s="48">
        <v>1</v>
      </c>
      <c r="N23" s="48">
        <v>3</v>
      </c>
      <c r="O23" s="60" t="s">
        <v>780</v>
      </c>
      <c r="P23" s="48">
        <v>1</v>
      </c>
      <c r="Q23" s="58" t="s">
        <v>781</v>
      </c>
      <c r="R23" s="5" t="s">
        <v>64</v>
      </c>
      <c r="S23" s="48">
        <v>3</v>
      </c>
      <c r="T23" s="60" t="s">
        <v>780</v>
      </c>
      <c r="U23" s="48">
        <v>1</v>
      </c>
      <c r="V23" s="60" t="s">
        <v>782</v>
      </c>
      <c r="W23" s="48">
        <v>1</v>
      </c>
    </row>
    <row r="24" spans="1:25" x14ac:dyDescent="0.25">
      <c r="A24" s="48" t="s">
        <v>575</v>
      </c>
      <c r="B24" s="59" t="s">
        <v>783</v>
      </c>
      <c r="C24" s="59" t="s">
        <v>784</v>
      </c>
      <c r="D24" s="55">
        <v>4</v>
      </c>
      <c r="E24" s="61" t="s">
        <v>785</v>
      </c>
      <c r="F24" s="62">
        <v>1</v>
      </c>
      <c r="G24" s="61" t="s">
        <v>742</v>
      </c>
      <c r="H24" s="62" t="s">
        <v>743</v>
      </c>
      <c r="I24" s="55">
        <v>3</v>
      </c>
      <c r="J24" s="61" t="s">
        <v>786</v>
      </c>
      <c r="K24" s="62">
        <v>1</v>
      </c>
      <c r="L24" s="61" t="s">
        <v>787</v>
      </c>
      <c r="M24" s="62">
        <v>1</v>
      </c>
      <c r="N24" s="55">
        <v>3</v>
      </c>
      <c r="O24" s="61" t="s">
        <v>788</v>
      </c>
      <c r="P24" s="62">
        <v>1</v>
      </c>
      <c r="Q24" s="61" t="s">
        <v>789</v>
      </c>
      <c r="R24" s="62">
        <v>1</v>
      </c>
      <c r="S24" s="55">
        <v>4</v>
      </c>
      <c r="T24" s="61" t="s">
        <v>789</v>
      </c>
      <c r="U24" s="62">
        <v>1</v>
      </c>
      <c r="V24" s="61" t="s">
        <v>742</v>
      </c>
      <c r="W24" s="62" t="s">
        <v>743</v>
      </c>
    </row>
    <row r="25" spans="1:25" x14ac:dyDescent="0.25">
      <c r="A25" s="48" t="s">
        <v>575</v>
      </c>
      <c r="B25" s="47" t="s">
        <v>790</v>
      </c>
      <c r="C25" s="47" t="s">
        <v>791</v>
      </c>
      <c r="D25" s="48">
        <v>4</v>
      </c>
      <c r="E25" s="60" t="s">
        <v>305</v>
      </c>
      <c r="F25" s="48">
        <v>1</v>
      </c>
      <c r="G25" s="58" t="s">
        <v>742</v>
      </c>
      <c r="H25" s="5" t="s">
        <v>743</v>
      </c>
      <c r="I25" s="48">
        <v>3</v>
      </c>
      <c r="J25" s="60" t="s">
        <v>305</v>
      </c>
      <c r="K25" s="48" t="s">
        <v>65</v>
      </c>
      <c r="L25" s="58" t="s">
        <v>742</v>
      </c>
      <c r="M25" s="5" t="s">
        <v>743</v>
      </c>
      <c r="N25" s="48">
        <v>3</v>
      </c>
      <c r="O25" s="60" t="s">
        <v>773</v>
      </c>
      <c r="P25" s="48">
        <v>1</v>
      </c>
      <c r="Q25" s="60" t="s">
        <v>792</v>
      </c>
      <c r="R25" s="48">
        <v>1</v>
      </c>
      <c r="S25" s="48">
        <v>3</v>
      </c>
      <c r="T25" s="60" t="s">
        <v>767</v>
      </c>
      <c r="U25" s="48" t="s">
        <v>65</v>
      </c>
      <c r="V25" s="58" t="s">
        <v>742</v>
      </c>
      <c r="W25" s="5" t="s">
        <v>743</v>
      </c>
      <c r="Y25" s="47"/>
    </row>
    <row r="26" spans="1:25" x14ac:dyDescent="0.25">
      <c r="A26" s="48" t="s">
        <v>575</v>
      </c>
      <c r="B26" s="59" t="s">
        <v>793</v>
      </c>
      <c r="C26" s="59" t="s">
        <v>794</v>
      </c>
      <c r="D26" s="55">
        <v>4</v>
      </c>
      <c r="E26" s="61" t="s">
        <v>795</v>
      </c>
      <c r="F26" s="62">
        <v>1</v>
      </c>
      <c r="G26" s="61" t="s">
        <v>742</v>
      </c>
      <c r="H26" s="62" t="s">
        <v>743</v>
      </c>
      <c r="I26" s="55">
        <v>3</v>
      </c>
      <c r="J26" s="61" t="s">
        <v>796</v>
      </c>
      <c r="K26" s="62" t="s">
        <v>64</v>
      </c>
      <c r="L26" s="61" t="s">
        <v>751</v>
      </c>
      <c r="M26" s="62">
        <v>1</v>
      </c>
      <c r="N26" s="55">
        <v>2</v>
      </c>
      <c r="O26" s="61" t="s">
        <v>795</v>
      </c>
      <c r="P26" s="62" t="s">
        <v>65</v>
      </c>
      <c r="Q26" s="61" t="s">
        <v>742</v>
      </c>
      <c r="R26" s="62" t="s">
        <v>743</v>
      </c>
      <c r="S26" s="55">
        <v>3</v>
      </c>
      <c r="T26" s="61" t="s">
        <v>797</v>
      </c>
      <c r="U26" s="62">
        <v>1</v>
      </c>
      <c r="V26" s="61" t="s">
        <v>748</v>
      </c>
      <c r="W26" s="62">
        <v>1</v>
      </c>
    </row>
    <row r="27" spans="1:25" x14ac:dyDescent="0.25">
      <c r="A27" s="48" t="s">
        <v>575</v>
      </c>
      <c r="B27" s="63" t="s">
        <v>798</v>
      </c>
      <c r="C27" s="63" t="s">
        <v>799</v>
      </c>
      <c r="D27" s="64">
        <v>4</v>
      </c>
      <c r="E27" s="65" t="s">
        <v>317</v>
      </c>
      <c r="F27" s="64" t="s">
        <v>64</v>
      </c>
      <c r="G27" s="65" t="s">
        <v>742</v>
      </c>
      <c r="H27" s="64" t="s">
        <v>743</v>
      </c>
      <c r="I27" s="64">
        <v>3</v>
      </c>
      <c r="J27" s="65" t="s">
        <v>317</v>
      </c>
      <c r="K27" s="64" t="s">
        <v>64</v>
      </c>
      <c r="L27" s="65" t="s">
        <v>800</v>
      </c>
      <c r="M27" s="64" t="s">
        <v>64</v>
      </c>
      <c r="N27" s="64">
        <v>4</v>
      </c>
      <c r="O27" s="65" t="s">
        <v>800</v>
      </c>
      <c r="P27" s="64" t="s">
        <v>64</v>
      </c>
      <c r="Q27" s="60" t="s">
        <v>742</v>
      </c>
      <c r="R27" s="48" t="s">
        <v>743</v>
      </c>
      <c r="S27" s="64">
        <v>3</v>
      </c>
      <c r="T27" s="65" t="s">
        <v>317</v>
      </c>
      <c r="U27" s="64" t="s">
        <v>64</v>
      </c>
      <c r="V27" s="65" t="s">
        <v>746</v>
      </c>
      <c r="W27" s="64" t="s">
        <v>64</v>
      </c>
    </row>
    <row r="28" spans="1:25" x14ac:dyDescent="0.25">
      <c r="A28" s="48">
        <v>0</v>
      </c>
      <c r="B28" s="59" t="s">
        <v>801</v>
      </c>
      <c r="C28" s="59" t="s">
        <v>802</v>
      </c>
      <c r="D28" s="55">
        <v>5</v>
      </c>
      <c r="E28" s="61" t="s">
        <v>742</v>
      </c>
      <c r="F28" s="62" t="s">
        <v>743</v>
      </c>
      <c r="G28" s="61" t="s">
        <v>742</v>
      </c>
      <c r="H28" s="62" t="s">
        <v>743</v>
      </c>
      <c r="I28" s="55">
        <v>5</v>
      </c>
      <c r="J28" s="61" t="s">
        <v>742</v>
      </c>
      <c r="K28" s="62" t="s">
        <v>743</v>
      </c>
      <c r="L28" s="61" t="s">
        <v>742</v>
      </c>
      <c r="M28" s="62" t="s">
        <v>743</v>
      </c>
      <c r="N28" s="55">
        <v>5</v>
      </c>
      <c r="O28" s="61" t="s">
        <v>742</v>
      </c>
      <c r="P28" s="62" t="s">
        <v>743</v>
      </c>
      <c r="Q28" s="61" t="s">
        <v>742</v>
      </c>
      <c r="R28" s="62" t="s">
        <v>743</v>
      </c>
      <c r="S28" s="55">
        <v>5</v>
      </c>
      <c r="T28" s="61" t="s">
        <v>742</v>
      </c>
      <c r="U28" s="62" t="s">
        <v>743</v>
      </c>
      <c r="V28" s="61" t="s">
        <v>742</v>
      </c>
      <c r="W28" s="62" t="s">
        <v>743</v>
      </c>
    </row>
    <row r="29" spans="1:25" x14ac:dyDescent="0.25">
      <c r="A29" s="48" t="s">
        <v>575</v>
      </c>
      <c r="B29" s="47" t="s">
        <v>803</v>
      </c>
      <c r="C29" s="47" t="s">
        <v>804</v>
      </c>
      <c r="D29" s="48">
        <v>4</v>
      </c>
      <c r="E29" s="60" t="s">
        <v>805</v>
      </c>
      <c r="F29" s="48">
        <v>1</v>
      </c>
      <c r="G29" s="58" t="s">
        <v>742</v>
      </c>
      <c r="H29" s="5" t="s">
        <v>743</v>
      </c>
      <c r="I29" s="48">
        <v>2</v>
      </c>
      <c r="J29" s="60" t="s">
        <v>773</v>
      </c>
      <c r="K29" s="48" t="s">
        <v>64</v>
      </c>
      <c r="L29" s="60" t="s">
        <v>806</v>
      </c>
      <c r="M29" s="48">
        <v>1</v>
      </c>
      <c r="N29" s="48">
        <v>3</v>
      </c>
      <c r="O29" s="60" t="s">
        <v>807</v>
      </c>
      <c r="P29" s="48">
        <v>1</v>
      </c>
      <c r="Q29" s="60" t="s">
        <v>808</v>
      </c>
      <c r="R29" s="48">
        <v>1</v>
      </c>
      <c r="S29" s="48">
        <v>4</v>
      </c>
      <c r="T29" s="60" t="s">
        <v>809</v>
      </c>
      <c r="U29" s="48">
        <v>1</v>
      </c>
      <c r="V29" s="58" t="s">
        <v>742</v>
      </c>
      <c r="W29" s="5" t="s">
        <v>743</v>
      </c>
    </row>
    <row r="30" spans="1:25" x14ac:dyDescent="0.25">
      <c r="A30" s="48" t="s">
        <v>575</v>
      </c>
      <c r="B30" s="59" t="s">
        <v>810</v>
      </c>
      <c r="C30" s="59" t="s">
        <v>811</v>
      </c>
      <c r="D30" s="55">
        <v>4</v>
      </c>
      <c r="E30" s="61" t="s">
        <v>812</v>
      </c>
      <c r="F30" s="62">
        <v>2</v>
      </c>
      <c r="G30" s="61" t="s">
        <v>742</v>
      </c>
      <c r="H30" s="62" t="s">
        <v>743</v>
      </c>
      <c r="I30" s="55">
        <v>3</v>
      </c>
      <c r="J30" s="61" t="s">
        <v>313</v>
      </c>
      <c r="K30" s="62">
        <v>1</v>
      </c>
      <c r="L30" s="61" t="s">
        <v>782</v>
      </c>
      <c r="M30" s="62">
        <v>1</v>
      </c>
      <c r="N30" s="55">
        <v>3</v>
      </c>
      <c r="O30" s="61" t="s">
        <v>779</v>
      </c>
      <c r="P30" s="62">
        <v>1</v>
      </c>
      <c r="Q30" s="61" t="s">
        <v>782</v>
      </c>
      <c r="R30" s="62">
        <v>1</v>
      </c>
      <c r="S30" s="55">
        <v>3</v>
      </c>
      <c r="T30" s="61" t="s">
        <v>301</v>
      </c>
      <c r="U30" s="62" t="s">
        <v>65</v>
      </c>
      <c r="V30" s="61" t="s">
        <v>742</v>
      </c>
      <c r="W30" s="62" t="s">
        <v>743</v>
      </c>
    </row>
    <row r="31" spans="1:25" x14ac:dyDescent="0.25">
      <c r="A31" s="48" t="s">
        <v>575</v>
      </c>
      <c r="B31" s="47" t="s">
        <v>813</v>
      </c>
      <c r="C31" s="47" t="s">
        <v>814</v>
      </c>
      <c r="D31" s="48">
        <v>4</v>
      </c>
      <c r="E31" s="60" t="s">
        <v>299</v>
      </c>
      <c r="F31" s="48">
        <v>1</v>
      </c>
      <c r="G31" s="58" t="s">
        <v>742</v>
      </c>
      <c r="H31" s="5" t="s">
        <v>743</v>
      </c>
      <c r="I31" s="48">
        <v>3</v>
      </c>
      <c r="J31" s="60" t="s">
        <v>753</v>
      </c>
      <c r="K31" s="48">
        <v>1</v>
      </c>
      <c r="L31" s="60" t="s">
        <v>815</v>
      </c>
      <c r="M31" s="48">
        <v>1</v>
      </c>
      <c r="N31" s="48">
        <v>2</v>
      </c>
      <c r="O31" s="60" t="s">
        <v>816</v>
      </c>
      <c r="P31" s="48" t="s">
        <v>65</v>
      </c>
      <c r="Q31" s="60" t="s">
        <v>742</v>
      </c>
      <c r="R31" s="48" t="s">
        <v>743</v>
      </c>
      <c r="S31" s="48">
        <v>4</v>
      </c>
      <c r="T31" s="60" t="s">
        <v>277</v>
      </c>
      <c r="U31" s="48" t="s">
        <v>64</v>
      </c>
      <c r="V31" s="60" t="s">
        <v>742</v>
      </c>
      <c r="W31" s="48" t="s">
        <v>743</v>
      </c>
    </row>
    <row r="32" spans="1:25" x14ac:dyDescent="0.25">
      <c r="A32" s="48">
        <v>1</v>
      </c>
      <c r="B32" s="59" t="s">
        <v>817</v>
      </c>
      <c r="C32" s="59" t="s">
        <v>818</v>
      </c>
      <c r="D32" s="55">
        <v>4</v>
      </c>
      <c r="E32" s="61" t="s">
        <v>277</v>
      </c>
      <c r="F32" s="62">
        <v>1</v>
      </c>
      <c r="G32" s="61" t="s">
        <v>742</v>
      </c>
      <c r="H32" s="62" t="s">
        <v>743</v>
      </c>
      <c r="I32" s="55">
        <v>3</v>
      </c>
      <c r="J32" s="61" t="s">
        <v>277</v>
      </c>
      <c r="K32" s="62">
        <v>2</v>
      </c>
      <c r="L32" s="61" t="s">
        <v>742</v>
      </c>
      <c r="M32" s="62" t="s">
        <v>743</v>
      </c>
      <c r="N32" s="55">
        <v>3</v>
      </c>
      <c r="O32" s="61" t="s">
        <v>819</v>
      </c>
      <c r="P32" s="62">
        <v>1</v>
      </c>
      <c r="Q32" s="61" t="s">
        <v>820</v>
      </c>
      <c r="R32" s="62">
        <v>1</v>
      </c>
      <c r="S32" s="55">
        <v>4</v>
      </c>
      <c r="T32" s="61" t="s">
        <v>283</v>
      </c>
      <c r="U32" s="62">
        <v>1</v>
      </c>
      <c r="V32" s="61" t="s">
        <v>742</v>
      </c>
      <c r="W32" s="62" t="s">
        <v>743</v>
      </c>
    </row>
    <row r="33" spans="1:23" x14ac:dyDescent="0.25">
      <c r="A33" s="48">
        <v>0</v>
      </c>
      <c r="B33" s="47" t="s">
        <v>821</v>
      </c>
      <c r="C33" s="47" t="s">
        <v>822</v>
      </c>
      <c r="D33" s="48">
        <v>4</v>
      </c>
      <c r="E33" s="60" t="s">
        <v>823</v>
      </c>
      <c r="F33" s="48">
        <v>1</v>
      </c>
      <c r="G33" s="58" t="s">
        <v>742</v>
      </c>
      <c r="H33" s="5" t="s">
        <v>743</v>
      </c>
      <c r="I33" s="48">
        <v>2</v>
      </c>
      <c r="J33" s="60" t="s">
        <v>824</v>
      </c>
      <c r="K33" s="48" t="s">
        <v>65</v>
      </c>
      <c r="L33" s="58" t="s">
        <v>742</v>
      </c>
      <c r="M33" s="5" t="s">
        <v>743</v>
      </c>
      <c r="N33" s="48">
        <v>3</v>
      </c>
      <c r="O33" s="60" t="s">
        <v>823</v>
      </c>
      <c r="P33" s="48">
        <v>1</v>
      </c>
      <c r="Q33" s="60" t="s">
        <v>297</v>
      </c>
      <c r="R33" s="48">
        <v>1</v>
      </c>
      <c r="S33" s="48">
        <v>2</v>
      </c>
      <c r="T33" s="60" t="s">
        <v>825</v>
      </c>
      <c r="U33" s="48" t="s">
        <v>65</v>
      </c>
      <c r="V33" s="60" t="s">
        <v>742</v>
      </c>
      <c r="W33" s="48" t="s">
        <v>743</v>
      </c>
    </row>
    <row r="34" spans="1:23" x14ac:dyDescent="0.25">
      <c r="A34" s="48" t="s">
        <v>64</v>
      </c>
      <c r="B34" s="59" t="s">
        <v>826</v>
      </c>
      <c r="C34" s="59" t="s">
        <v>827</v>
      </c>
      <c r="D34" s="55">
        <v>4</v>
      </c>
      <c r="E34" s="61" t="s">
        <v>828</v>
      </c>
      <c r="F34" s="62">
        <v>1</v>
      </c>
      <c r="G34" s="61" t="s">
        <v>742</v>
      </c>
      <c r="H34" s="62" t="s">
        <v>743</v>
      </c>
      <c r="I34" s="55">
        <v>2</v>
      </c>
      <c r="J34" s="61" t="s">
        <v>828</v>
      </c>
      <c r="K34" s="62">
        <v>1</v>
      </c>
      <c r="L34" s="62" t="s">
        <v>829</v>
      </c>
      <c r="M34" s="62">
        <v>1</v>
      </c>
      <c r="N34" s="55">
        <v>2</v>
      </c>
      <c r="O34" s="61" t="s">
        <v>293</v>
      </c>
      <c r="P34" s="62">
        <v>1</v>
      </c>
      <c r="Q34" s="61" t="s">
        <v>796</v>
      </c>
      <c r="R34" s="62">
        <v>1</v>
      </c>
      <c r="S34" s="55">
        <v>2</v>
      </c>
      <c r="T34" s="61" t="s">
        <v>293</v>
      </c>
      <c r="U34" s="62" t="s">
        <v>65</v>
      </c>
      <c r="V34" s="61" t="s">
        <v>742</v>
      </c>
      <c r="W34" s="62" t="s">
        <v>743</v>
      </c>
    </row>
    <row r="35" spans="1:23" x14ac:dyDescent="0.25">
      <c r="A35" s="48" t="s">
        <v>64</v>
      </c>
      <c r="B35" s="47" t="s">
        <v>830</v>
      </c>
      <c r="C35" s="47" t="s">
        <v>831</v>
      </c>
      <c r="D35" s="48">
        <v>4</v>
      </c>
      <c r="E35" s="60" t="s">
        <v>287</v>
      </c>
      <c r="F35" s="48">
        <v>1</v>
      </c>
      <c r="G35" s="60" t="s">
        <v>742</v>
      </c>
      <c r="H35" s="48" t="s">
        <v>743</v>
      </c>
      <c r="I35" s="48">
        <v>3</v>
      </c>
      <c r="J35" s="60" t="s">
        <v>781</v>
      </c>
      <c r="K35" s="48" t="s">
        <v>65</v>
      </c>
      <c r="L35" s="60" t="s">
        <v>797</v>
      </c>
      <c r="M35" s="48">
        <v>1</v>
      </c>
      <c r="N35" s="48">
        <v>3</v>
      </c>
      <c r="O35" s="60" t="s">
        <v>832</v>
      </c>
      <c r="P35" s="48">
        <v>1</v>
      </c>
      <c r="Q35" s="60" t="s">
        <v>781</v>
      </c>
      <c r="R35" s="48" t="s">
        <v>64</v>
      </c>
      <c r="S35" s="48">
        <v>2</v>
      </c>
      <c r="T35" s="60" t="s">
        <v>833</v>
      </c>
      <c r="U35" s="48" t="s">
        <v>65</v>
      </c>
      <c r="V35" s="60" t="s">
        <v>742</v>
      </c>
      <c r="W35" s="48" t="s">
        <v>743</v>
      </c>
    </row>
    <row r="36" spans="1:23" x14ac:dyDescent="0.25">
      <c r="A36" s="48" t="s">
        <v>575</v>
      </c>
      <c r="B36" s="59" t="s">
        <v>834</v>
      </c>
      <c r="C36" s="59" t="s">
        <v>835</v>
      </c>
      <c r="D36" s="55">
        <v>4</v>
      </c>
      <c r="E36" s="61" t="s">
        <v>770</v>
      </c>
      <c r="F36" s="62">
        <v>1</v>
      </c>
      <c r="G36" s="61" t="s">
        <v>742</v>
      </c>
      <c r="H36" s="62" t="s">
        <v>743</v>
      </c>
      <c r="I36" s="55">
        <v>2</v>
      </c>
      <c r="J36" s="61" t="s">
        <v>319</v>
      </c>
      <c r="K36" s="62" t="s">
        <v>65</v>
      </c>
      <c r="L36" s="61" t="s">
        <v>742</v>
      </c>
      <c r="M36" s="62" t="s">
        <v>743</v>
      </c>
      <c r="N36" s="55">
        <v>3</v>
      </c>
      <c r="O36" s="61" t="s">
        <v>836</v>
      </c>
      <c r="P36" s="62">
        <v>1</v>
      </c>
      <c r="Q36" s="61" t="s">
        <v>809</v>
      </c>
      <c r="R36" s="62">
        <v>1</v>
      </c>
      <c r="S36" s="55">
        <v>3</v>
      </c>
      <c r="T36" s="62" t="s">
        <v>805</v>
      </c>
      <c r="U36" s="62" t="s">
        <v>64</v>
      </c>
      <c r="V36" s="61" t="s">
        <v>837</v>
      </c>
      <c r="W36" s="62">
        <v>1</v>
      </c>
    </row>
    <row r="37" spans="1:23" x14ac:dyDescent="0.25">
      <c r="A37" s="48" t="s">
        <v>64</v>
      </c>
      <c r="B37" s="47" t="s">
        <v>838</v>
      </c>
      <c r="C37" s="47" t="s">
        <v>839</v>
      </c>
      <c r="D37" s="48">
        <v>4</v>
      </c>
      <c r="E37" s="60" t="s">
        <v>840</v>
      </c>
      <c r="F37" s="48">
        <v>1</v>
      </c>
      <c r="G37" s="60" t="s">
        <v>742</v>
      </c>
      <c r="H37" s="48" t="s">
        <v>743</v>
      </c>
      <c r="I37" s="48">
        <v>3</v>
      </c>
      <c r="J37" s="60" t="s">
        <v>841</v>
      </c>
      <c r="K37" s="48">
        <v>1</v>
      </c>
      <c r="L37" s="60" t="s">
        <v>762</v>
      </c>
      <c r="M37" s="48">
        <v>1</v>
      </c>
      <c r="N37" s="48">
        <v>2</v>
      </c>
      <c r="O37" s="60" t="s">
        <v>840</v>
      </c>
      <c r="P37" s="48">
        <v>1</v>
      </c>
      <c r="Q37" s="60" t="s">
        <v>289</v>
      </c>
      <c r="R37" s="48">
        <v>1</v>
      </c>
      <c r="S37" s="48">
        <v>3</v>
      </c>
      <c r="T37" s="58" t="s">
        <v>842</v>
      </c>
      <c r="U37" s="5" t="s">
        <v>64</v>
      </c>
      <c r="V37" s="58" t="s">
        <v>741</v>
      </c>
      <c r="W37" s="5" t="s">
        <v>64</v>
      </c>
    </row>
    <row r="38" spans="1:23" x14ac:dyDescent="0.25">
      <c r="A38" s="48">
        <v>0</v>
      </c>
      <c r="B38" s="59" t="s">
        <v>843</v>
      </c>
      <c r="C38" s="59" t="s">
        <v>844</v>
      </c>
      <c r="D38" s="55">
        <v>4</v>
      </c>
      <c r="E38" s="61" t="s">
        <v>788</v>
      </c>
      <c r="F38" s="62">
        <v>1</v>
      </c>
      <c r="G38" s="61" t="s">
        <v>742</v>
      </c>
      <c r="H38" s="62" t="s">
        <v>743</v>
      </c>
      <c r="I38" s="55">
        <v>4</v>
      </c>
      <c r="J38" s="61" t="s">
        <v>753</v>
      </c>
      <c r="K38" s="62" t="s">
        <v>64</v>
      </c>
      <c r="L38" s="61" t="s">
        <v>742</v>
      </c>
      <c r="M38" s="62" t="s">
        <v>743</v>
      </c>
      <c r="N38" s="55">
        <v>3</v>
      </c>
      <c r="O38" s="61" t="s">
        <v>307</v>
      </c>
      <c r="P38" s="62">
        <v>1</v>
      </c>
      <c r="Q38" s="62" t="s">
        <v>781</v>
      </c>
      <c r="R38" s="62">
        <v>1</v>
      </c>
      <c r="S38" s="55">
        <v>3</v>
      </c>
      <c r="T38" s="61" t="s">
        <v>753</v>
      </c>
      <c r="U38" s="62">
        <v>1</v>
      </c>
      <c r="V38" s="61" t="s">
        <v>766</v>
      </c>
      <c r="W38" s="62">
        <v>1</v>
      </c>
    </row>
    <row r="39" spans="1:23" x14ac:dyDescent="0.25">
      <c r="A39" s="48" t="s">
        <v>64</v>
      </c>
      <c r="B39" s="47" t="s">
        <v>845</v>
      </c>
      <c r="C39" s="47" t="s">
        <v>846</v>
      </c>
      <c r="D39" s="48">
        <v>4</v>
      </c>
      <c r="E39" s="60" t="s">
        <v>281</v>
      </c>
      <c r="F39" s="48">
        <v>1</v>
      </c>
      <c r="G39" s="60" t="s">
        <v>742</v>
      </c>
      <c r="H39" s="48" t="s">
        <v>743</v>
      </c>
      <c r="I39" s="48">
        <v>3</v>
      </c>
      <c r="J39" s="60" t="s">
        <v>279</v>
      </c>
      <c r="K39" s="48">
        <v>1</v>
      </c>
      <c r="L39" s="60" t="s">
        <v>297</v>
      </c>
      <c r="M39" s="48">
        <v>1</v>
      </c>
      <c r="N39" s="48">
        <v>2</v>
      </c>
      <c r="O39" s="60" t="s">
        <v>281</v>
      </c>
      <c r="P39" s="48">
        <v>2</v>
      </c>
      <c r="Q39" s="60" t="s">
        <v>742</v>
      </c>
      <c r="R39" s="48" t="s">
        <v>743</v>
      </c>
      <c r="S39" s="48">
        <v>2</v>
      </c>
      <c r="T39" s="60" t="s">
        <v>842</v>
      </c>
      <c r="U39" s="48" t="s">
        <v>64</v>
      </c>
      <c r="V39" s="60" t="s">
        <v>847</v>
      </c>
      <c r="W39" s="48">
        <v>1</v>
      </c>
    </row>
    <row r="40" spans="1:23" x14ac:dyDescent="0.25">
      <c r="A40" s="48" t="s">
        <v>64</v>
      </c>
      <c r="B40" s="59" t="s">
        <v>848</v>
      </c>
      <c r="C40" s="59" t="s">
        <v>849</v>
      </c>
      <c r="D40" s="55">
        <v>4</v>
      </c>
      <c r="E40" s="61" t="s">
        <v>850</v>
      </c>
      <c r="F40" s="62">
        <v>1</v>
      </c>
      <c r="G40" s="61" t="s">
        <v>742</v>
      </c>
      <c r="H40" s="62" t="s">
        <v>743</v>
      </c>
      <c r="I40" s="55">
        <v>2</v>
      </c>
      <c r="J40" s="61" t="s">
        <v>850</v>
      </c>
      <c r="K40" s="62">
        <v>1</v>
      </c>
      <c r="L40" s="61" t="s">
        <v>319</v>
      </c>
      <c r="M40" s="62">
        <v>1</v>
      </c>
      <c r="N40" s="55">
        <v>3</v>
      </c>
      <c r="O40" s="61" t="s">
        <v>321</v>
      </c>
      <c r="P40" s="62">
        <v>2</v>
      </c>
      <c r="Q40" s="61" t="s">
        <v>742</v>
      </c>
      <c r="R40" s="62" t="s">
        <v>743</v>
      </c>
      <c r="S40" s="55">
        <v>2</v>
      </c>
      <c r="T40" s="61" t="s">
        <v>319</v>
      </c>
      <c r="U40" s="62">
        <v>2</v>
      </c>
      <c r="V40" s="61" t="s">
        <v>742</v>
      </c>
      <c r="W40" s="62" t="s">
        <v>743</v>
      </c>
    </row>
    <row r="41" spans="1:23" x14ac:dyDescent="0.25">
      <c r="A41" s="48" t="s">
        <v>575</v>
      </c>
      <c r="B41" s="47" t="s">
        <v>851</v>
      </c>
      <c r="C41" s="47" t="s">
        <v>852</v>
      </c>
      <c r="D41" s="48">
        <v>4</v>
      </c>
      <c r="E41" s="60" t="s">
        <v>853</v>
      </c>
      <c r="F41" s="48">
        <v>1</v>
      </c>
      <c r="G41" s="60" t="s">
        <v>742</v>
      </c>
      <c r="H41" s="48" t="s">
        <v>743</v>
      </c>
      <c r="I41" s="48">
        <v>3</v>
      </c>
      <c r="J41" s="60" t="s">
        <v>295</v>
      </c>
      <c r="K41" s="48" t="s">
        <v>65</v>
      </c>
      <c r="L41" s="60" t="s">
        <v>742</v>
      </c>
      <c r="M41" s="48" t="s">
        <v>743</v>
      </c>
      <c r="N41" s="48">
        <v>2</v>
      </c>
      <c r="O41" s="60" t="s">
        <v>854</v>
      </c>
      <c r="P41" s="48" t="s">
        <v>65</v>
      </c>
      <c r="Q41" s="60" t="s">
        <v>742</v>
      </c>
      <c r="R41" s="48" t="s">
        <v>743</v>
      </c>
      <c r="S41" s="48">
        <v>4</v>
      </c>
      <c r="T41" s="60" t="s">
        <v>853</v>
      </c>
      <c r="U41" s="48">
        <v>1</v>
      </c>
      <c r="V41" s="60" t="s">
        <v>742</v>
      </c>
      <c r="W41" s="48" t="s">
        <v>743</v>
      </c>
    </row>
    <row r="42" spans="1:23" x14ac:dyDescent="0.25">
      <c r="A42" s="48" t="s">
        <v>575</v>
      </c>
      <c r="B42" s="59" t="s">
        <v>855</v>
      </c>
      <c r="C42" s="59" t="s">
        <v>856</v>
      </c>
      <c r="D42" s="55">
        <v>4</v>
      </c>
      <c r="E42" s="61" t="s">
        <v>285</v>
      </c>
      <c r="F42" s="62">
        <v>1</v>
      </c>
      <c r="G42" s="61" t="s">
        <v>742</v>
      </c>
      <c r="H42" s="62" t="s">
        <v>743</v>
      </c>
      <c r="I42" s="55">
        <v>3</v>
      </c>
      <c r="J42" s="61" t="s">
        <v>857</v>
      </c>
      <c r="K42" s="62">
        <v>1</v>
      </c>
      <c r="L42" s="61" t="s">
        <v>792</v>
      </c>
      <c r="M42" s="62" t="s">
        <v>64</v>
      </c>
      <c r="N42" s="55">
        <v>3</v>
      </c>
      <c r="O42" s="61" t="s">
        <v>279</v>
      </c>
      <c r="P42" s="62" t="s">
        <v>65</v>
      </c>
      <c r="Q42" s="61" t="s">
        <v>742</v>
      </c>
      <c r="R42" s="62" t="s">
        <v>743</v>
      </c>
      <c r="S42" s="55">
        <v>3</v>
      </c>
      <c r="T42" s="61" t="s">
        <v>305</v>
      </c>
      <c r="U42" s="62">
        <v>2</v>
      </c>
      <c r="V42" s="61" t="s">
        <v>742</v>
      </c>
      <c r="W42" s="62" t="s">
        <v>743</v>
      </c>
    </row>
    <row r="43" spans="1:23" x14ac:dyDescent="0.25">
      <c r="A43" s="48" t="s">
        <v>64</v>
      </c>
      <c r="B43" s="47" t="s">
        <v>858</v>
      </c>
      <c r="C43" s="47" t="s">
        <v>859</v>
      </c>
      <c r="D43" s="48">
        <v>4</v>
      </c>
      <c r="E43" s="60" t="s">
        <v>289</v>
      </c>
      <c r="F43" s="48">
        <v>1</v>
      </c>
      <c r="G43" s="60" t="s">
        <v>742</v>
      </c>
      <c r="H43" s="48" t="s">
        <v>743</v>
      </c>
      <c r="I43" s="48">
        <v>4</v>
      </c>
      <c r="J43" s="60" t="s">
        <v>823</v>
      </c>
      <c r="K43" s="48">
        <v>1</v>
      </c>
      <c r="L43" s="60" t="s">
        <v>742</v>
      </c>
      <c r="M43" s="48" t="s">
        <v>743</v>
      </c>
      <c r="N43" s="48">
        <v>2</v>
      </c>
      <c r="O43" s="60" t="s">
        <v>289</v>
      </c>
      <c r="P43" s="48">
        <v>1</v>
      </c>
      <c r="Q43" s="60" t="s">
        <v>841</v>
      </c>
      <c r="R43" s="48">
        <v>1</v>
      </c>
      <c r="S43" s="48">
        <v>2</v>
      </c>
      <c r="T43" s="60" t="s">
        <v>761</v>
      </c>
      <c r="U43" s="48">
        <v>1</v>
      </c>
      <c r="V43" s="60" t="s">
        <v>841</v>
      </c>
      <c r="W43" s="48">
        <v>1</v>
      </c>
    </row>
    <row r="44" spans="1:23" x14ac:dyDescent="0.25">
      <c r="A44" s="48" t="s">
        <v>64</v>
      </c>
      <c r="B44" s="59" t="s">
        <v>860</v>
      </c>
      <c r="C44" s="59" t="s">
        <v>861</v>
      </c>
      <c r="D44" s="55">
        <v>4</v>
      </c>
      <c r="E44" s="61" t="s">
        <v>862</v>
      </c>
      <c r="F44" s="62">
        <v>1</v>
      </c>
      <c r="G44" s="61" t="s">
        <v>742</v>
      </c>
      <c r="H44" s="62" t="s">
        <v>743</v>
      </c>
      <c r="I44" s="55">
        <v>3</v>
      </c>
      <c r="J44" s="61" t="s">
        <v>862</v>
      </c>
      <c r="K44" s="62">
        <v>1</v>
      </c>
      <c r="L44" s="61" t="s">
        <v>762</v>
      </c>
      <c r="M44" s="62" t="s">
        <v>64</v>
      </c>
      <c r="N44" s="55">
        <v>2</v>
      </c>
      <c r="O44" s="61" t="s">
        <v>863</v>
      </c>
      <c r="P44" s="62">
        <v>1</v>
      </c>
      <c r="Q44" s="61" t="s">
        <v>313</v>
      </c>
      <c r="R44" s="62">
        <v>1</v>
      </c>
      <c r="S44" s="55">
        <v>3</v>
      </c>
      <c r="T44" s="61" t="s">
        <v>313</v>
      </c>
      <c r="U44" s="62">
        <v>1</v>
      </c>
      <c r="V44" s="61" t="s">
        <v>808</v>
      </c>
      <c r="W44" s="62">
        <v>1</v>
      </c>
    </row>
    <row r="45" spans="1:23" x14ac:dyDescent="0.25">
      <c r="A45" s="48">
        <v>1</v>
      </c>
      <c r="B45" s="47" t="s">
        <v>864</v>
      </c>
      <c r="C45" s="47" t="s">
        <v>865</v>
      </c>
      <c r="D45" s="48">
        <v>4</v>
      </c>
      <c r="E45" s="60" t="s">
        <v>291</v>
      </c>
      <c r="F45" s="48">
        <v>1</v>
      </c>
      <c r="G45" s="60" t="s">
        <v>742</v>
      </c>
      <c r="H45" s="48" t="s">
        <v>743</v>
      </c>
      <c r="I45" s="48">
        <v>3</v>
      </c>
      <c r="J45" s="60" t="s">
        <v>291</v>
      </c>
      <c r="K45" s="48">
        <v>1</v>
      </c>
      <c r="L45" s="60" t="s">
        <v>741</v>
      </c>
      <c r="M45" s="48">
        <v>1</v>
      </c>
      <c r="N45" s="48">
        <v>3</v>
      </c>
      <c r="O45" s="60" t="s">
        <v>866</v>
      </c>
      <c r="P45" s="48">
        <v>1</v>
      </c>
      <c r="Q45" s="60" t="s">
        <v>762</v>
      </c>
      <c r="R45" s="48">
        <v>1</v>
      </c>
      <c r="S45" s="48">
        <v>3</v>
      </c>
      <c r="T45" s="60" t="s">
        <v>867</v>
      </c>
      <c r="U45" s="48">
        <v>1</v>
      </c>
      <c r="V45" s="60" t="s">
        <v>762</v>
      </c>
      <c r="W45" s="48">
        <v>1</v>
      </c>
    </row>
    <row r="46" spans="1:23" x14ac:dyDescent="0.25">
      <c r="A46" s="48" t="s">
        <v>64</v>
      </c>
      <c r="B46" s="59" t="s">
        <v>868</v>
      </c>
      <c r="C46" s="59" t="s">
        <v>869</v>
      </c>
      <c r="D46" s="55">
        <v>4</v>
      </c>
      <c r="E46" s="61" t="s">
        <v>870</v>
      </c>
      <c r="F46" s="62">
        <v>1</v>
      </c>
      <c r="G46" s="61" t="s">
        <v>742</v>
      </c>
      <c r="H46" s="62" t="s">
        <v>743</v>
      </c>
      <c r="I46" s="55">
        <v>2</v>
      </c>
      <c r="J46" s="61" t="s">
        <v>871</v>
      </c>
      <c r="K46" s="62" t="s">
        <v>65</v>
      </c>
      <c r="L46" s="61" t="s">
        <v>742</v>
      </c>
      <c r="M46" s="62" t="s">
        <v>743</v>
      </c>
      <c r="N46" s="55">
        <v>4</v>
      </c>
      <c r="O46" s="61" t="s">
        <v>752</v>
      </c>
      <c r="P46" s="62">
        <v>1</v>
      </c>
      <c r="Q46" s="61" t="s">
        <v>742</v>
      </c>
      <c r="R46" s="62" t="s">
        <v>743</v>
      </c>
      <c r="S46" s="55">
        <v>2</v>
      </c>
      <c r="T46" s="61" t="s">
        <v>870</v>
      </c>
      <c r="U46" s="62">
        <v>1</v>
      </c>
      <c r="V46" s="61" t="s">
        <v>863</v>
      </c>
      <c r="W46" s="62" t="s">
        <v>64</v>
      </c>
    </row>
    <row r="47" spans="1:23" x14ac:dyDescent="0.25">
      <c r="A47" s="48">
        <v>1</v>
      </c>
      <c r="B47" s="47" t="s">
        <v>872</v>
      </c>
      <c r="C47" s="47" t="s">
        <v>873</v>
      </c>
      <c r="D47" s="48">
        <v>4</v>
      </c>
      <c r="E47" s="60" t="s">
        <v>874</v>
      </c>
      <c r="F47" s="48">
        <v>1</v>
      </c>
      <c r="G47" s="60" t="s">
        <v>742</v>
      </c>
      <c r="H47" s="48" t="s">
        <v>743</v>
      </c>
      <c r="I47" s="48">
        <v>2</v>
      </c>
      <c r="J47" s="60" t="s">
        <v>307</v>
      </c>
      <c r="K47" s="48" t="s">
        <v>65</v>
      </c>
      <c r="L47" s="60" t="s">
        <v>742</v>
      </c>
      <c r="M47" s="48" t="s">
        <v>743</v>
      </c>
      <c r="N47" s="48">
        <v>2</v>
      </c>
      <c r="O47" s="60" t="s">
        <v>773</v>
      </c>
      <c r="P47" s="48" t="s">
        <v>65</v>
      </c>
      <c r="Q47" s="60" t="s">
        <v>742</v>
      </c>
      <c r="R47" s="48" t="s">
        <v>743</v>
      </c>
      <c r="S47" s="48">
        <v>4</v>
      </c>
      <c r="T47" s="60" t="s">
        <v>800</v>
      </c>
      <c r="U47" s="48">
        <v>1</v>
      </c>
      <c r="V47" s="58" t="s">
        <v>742</v>
      </c>
      <c r="W47" s="5" t="s">
        <v>743</v>
      </c>
    </row>
    <row r="48" spans="1:23" x14ac:dyDescent="0.25">
      <c r="A48" s="48" t="s">
        <v>64</v>
      </c>
      <c r="B48" s="59" t="s">
        <v>875</v>
      </c>
      <c r="C48" s="59" t="s">
        <v>876</v>
      </c>
      <c r="D48" s="55">
        <v>4</v>
      </c>
      <c r="E48" s="61" t="s">
        <v>877</v>
      </c>
      <c r="F48" s="62">
        <v>1</v>
      </c>
      <c r="G48" s="61" t="s">
        <v>742</v>
      </c>
      <c r="H48" s="62" t="s">
        <v>743</v>
      </c>
      <c r="I48" s="55">
        <v>3</v>
      </c>
      <c r="J48" s="61" t="s">
        <v>877</v>
      </c>
      <c r="K48" s="62">
        <v>1</v>
      </c>
      <c r="L48" s="61" t="s">
        <v>808</v>
      </c>
      <c r="M48" s="62" t="s">
        <v>64</v>
      </c>
      <c r="N48" s="55">
        <v>2</v>
      </c>
      <c r="O48" s="61" t="s">
        <v>744</v>
      </c>
      <c r="P48" s="62" t="s">
        <v>66</v>
      </c>
      <c r="Q48" s="61" t="s">
        <v>742</v>
      </c>
      <c r="R48" s="62" t="s">
        <v>743</v>
      </c>
      <c r="S48" s="55">
        <v>2</v>
      </c>
      <c r="T48" s="61" t="s">
        <v>281</v>
      </c>
      <c r="U48" s="62">
        <v>1</v>
      </c>
      <c r="V48" s="61" t="s">
        <v>773</v>
      </c>
      <c r="W48" s="62">
        <v>1</v>
      </c>
    </row>
    <row r="49" spans="1:25" x14ac:dyDescent="0.25">
      <c r="A49" s="48" t="s">
        <v>64</v>
      </c>
      <c r="B49" s="47" t="s">
        <v>878</v>
      </c>
      <c r="C49" s="47" t="s">
        <v>879</v>
      </c>
      <c r="D49" s="48">
        <v>4</v>
      </c>
      <c r="E49" s="60" t="s">
        <v>780</v>
      </c>
      <c r="F49" s="48">
        <v>1</v>
      </c>
      <c r="G49" s="60" t="s">
        <v>742</v>
      </c>
      <c r="H49" s="48" t="s">
        <v>743</v>
      </c>
      <c r="I49" s="48">
        <v>3</v>
      </c>
      <c r="J49" s="60" t="s">
        <v>293</v>
      </c>
      <c r="K49" s="48">
        <v>1</v>
      </c>
      <c r="L49" s="60" t="s">
        <v>748</v>
      </c>
      <c r="M49" s="48">
        <v>1</v>
      </c>
      <c r="N49" s="48">
        <v>3</v>
      </c>
      <c r="O49" s="60" t="s">
        <v>303</v>
      </c>
      <c r="P49" s="48" t="s">
        <v>65</v>
      </c>
      <c r="Q49" s="60" t="s">
        <v>742</v>
      </c>
      <c r="R49" s="48" t="s">
        <v>743</v>
      </c>
      <c r="S49" s="48">
        <v>4</v>
      </c>
      <c r="T49" s="60" t="s">
        <v>880</v>
      </c>
      <c r="U49" s="48">
        <v>1</v>
      </c>
      <c r="V49" s="58" t="s">
        <v>742</v>
      </c>
      <c r="W49" s="5" t="s">
        <v>743</v>
      </c>
    </row>
    <row r="50" spans="1:25" x14ac:dyDescent="0.25">
      <c r="A50" s="48">
        <v>1</v>
      </c>
      <c r="B50" s="59" t="s">
        <v>881</v>
      </c>
      <c r="C50" s="59" t="s">
        <v>882</v>
      </c>
      <c r="D50" s="55">
        <v>4</v>
      </c>
      <c r="E50" s="61" t="s">
        <v>883</v>
      </c>
      <c r="F50" s="62">
        <v>1</v>
      </c>
      <c r="G50" s="61" t="s">
        <v>742</v>
      </c>
      <c r="H50" s="62" t="s">
        <v>743</v>
      </c>
      <c r="I50" s="55">
        <v>3</v>
      </c>
      <c r="J50" s="61" t="s">
        <v>788</v>
      </c>
      <c r="K50" s="62" t="s">
        <v>65</v>
      </c>
      <c r="L50" s="61" t="s">
        <v>742</v>
      </c>
      <c r="M50" s="62" t="s">
        <v>743</v>
      </c>
      <c r="N50" s="55">
        <v>2</v>
      </c>
      <c r="O50" s="61" t="s">
        <v>883</v>
      </c>
      <c r="P50" s="62">
        <v>1</v>
      </c>
      <c r="Q50" s="61" t="s">
        <v>854</v>
      </c>
      <c r="R50" s="62">
        <v>1</v>
      </c>
      <c r="S50" s="55">
        <v>3</v>
      </c>
      <c r="T50" s="61" t="s">
        <v>277</v>
      </c>
      <c r="U50" s="62" t="s">
        <v>65</v>
      </c>
      <c r="V50" s="61" t="s">
        <v>742</v>
      </c>
      <c r="W50" s="62" t="s">
        <v>743</v>
      </c>
    </row>
    <row r="51" spans="1:25" x14ac:dyDescent="0.25">
      <c r="A51" s="48" t="s">
        <v>64</v>
      </c>
      <c r="B51" s="47" t="s">
        <v>884</v>
      </c>
      <c r="C51" s="47" t="s">
        <v>885</v>
      </c>
      <c r="D51" s="48">
        <v>4</v>
      </c>
      <c r="E51" s="60" t="s">
        <v>796</v>
      </c>
      <c r="F51" s="48">
        <v>1</v>
      </c>
      <c r="G51" s="60" t="s">
        <v>742</v>
      </c>
      <c r="H51" s="48" t="s">
        <v>743</v>
      </c>
      <c r="I51" s="48">
        <v>2</v>
      </c>
      <c r="J51" s="60" t="s">
        <v>796</v>
      </c>
      <c r="K51" s="48" t="s">
        <v>65</v>
      </c>
      <c r="L51" s="60" t="s">
        <v>742</v>
      </c>
      <c r="M51" s="48" t="s">
        <v>743</v>
      </c>
      <c r="N51" s="48">
        <v>2</v>
      </c>
      <c r="O51" s="60" t="s">
        <v>789</v>
      </c>
      <c r="P51" s="48" t="s">
        <v>66</v>
      </c>
      <c r="Q51" s="60" t="s">
        <v>742</v>
      </c>
      <c r="R51" s="48" t="s">
        <v>743</v>
      </c>
      <c r="S51" s="48">
        <v>3</v>
      </c>
      <c r="T51" s="60" t="s">
        <v>886</v>
      </c>
      <c r="U51" s="48" t="s">
        <v>65</v>
      </c>
      <c r="V51" s="60" t="s">
        <v>742</v>
      </c>
      <c r="W51" s="48" t="s">
        <v>743</v>
      </c>
    </row>
    <row r="52" spans="1:25" x14ac:dyDescent="0.25">
      <c r="A52" s="48"/>
      <c r="B52" s="47"/>
      <c r="D52" s="48"/>
      <c r="E52" s="60"/>
      <c r="F52" s="48"/>
      <c r="G52" s="60"/>
      <c r="H52" s="48"/>
      <c r="I52" s="48"/>
      <c r="J52" s="60"/>
      <c r="K52" s="48"/>
      <c r="L52" s="60"/>
      <c r="M52" s="48"/>
      <c r="N52" s="48"/>
      <c r="O52" s="4"/>
      <c r="P52" s="4"/>
      <c r="Q52" s="4"/>
      <c r="R52" s="4"/>
      <c r="S52" s="48"/>
      <c r="T52" s="60"/>
      <c r="U52" s="48"/>
      <c r="V52" s="60"/>
      <c r="W52" s="48"/>
    </row>
    <row r="53" spans="1:25" x14ac:dyDescent="0.25">
      <c r="A53" s="48" t="s">
        <v>887</v>
      </c>
      <c r="B53" s="47" t="s">
        <v>888</v>
      </c>
      <c r="C53" s="47" t="s">
        <v>889</v>
      </c>
      <c r="D53" s="48" t="s">
        <v>67</v>
      </c>
      <c r="E53" s="60" t="s">
        <v>742</v>
      </c>
      <c r="F53" s="48" t="s">
        <v>743</v>
      </c>
      <c r="G53" s="60" t="s">
        <v>742</v>
      </c>
      <c r="H53" s="48" t="s">
        <v>743</v>
      </c>
      <c r="I53" s="48" t="s">
        <v>67</v>
      </c>
      <c r="J53" s="60" t="s">
        <v>742</v>
      </c>
      <c r="K53" s="48" t="s">
        <v>743</v>
      </c>
      <c r="L53" s="60" t="s">
        <v>742</v>
      </c>
      <c r="M53" s="48" t="s">
        <v>743</v>
      </c>
      <c r="N53" s="48" t="s">
        <v>67</v>
      </c>
      <c r="O53" s="60" t="s">
        <v>742</v>
      </c>
      <c r="P53" s="48" t="s">
        <v>743</v>
      </c>
      <c r="Q53" s="60" t="s">
        <v>742</v>
      </c>
      <c r="R53" s="48" t="s">
        <v>743</v>
      </c>
      <c r="S53" s="48" t="s">
        <v>67</v>
      </c>
      <c r="T53" s="60" t="s">
        <v>742</v>
      </c>
      <c r="U53" s="48" t="s">
        <v>743</v>
      </c>
      <c r="V53" s="60" t="s">
        <v>742</v>
      </c>
      <c r="W53" s="48" t="s">
        <v>743</v>
      </c>
      <c r="X53" s="57" t="s">
        <v>890</v>
      </c>
      <c r="Y53" s="48" t="s">
        <v>891</v>
      </c>
    </row>
    <row r="54" spans="1:25" x14ac:dyDescent="0.25">
      <c r="A54" s="47"/>
      <c r="C54" s="4"/>
    </row>
    <row r="55" spans="1:25" x14ac:dyDescent="0.25">
      <c r="A55" s="47"/>
      <c r="C55" s="4"/>
    </row>
    <row r="56" spans="1:25" x14ac:dyDescent="0.25">
      <c r="A56" s="155" t="s">
        <v>892</v>
      </c>
      <c r="B56" s="155"/>
      <c r="C56" s="155"/>
      <c r="D56" s="155"/>
      <c r="E56" s="155"/>
      <c r="F56" s="155"/>
      <c r="G56" s="155"/>
      <c r="H56" s="155"/>
      <c r="I56" s="155"/>
      <c r="J56" s="155"/>
      <c r="K56" s="155"/>
      <c r="L56" s="155"/>
      <c r="M56" s="155"/>
      <c r="N56" s="155"/>
      <c r="O56" s="155"/>
      <c r="P56" s="155"/>
      <c r="Q56" s="155"/>
      <c r="R56" s="155"/>
      <c r="S56" s="155"/>
      <c r="T56" s="155"/>
      <c r="U56" s="155"/>
      <c r="V56" s="155"/>
      <c r="W56" s="155"/>
      <c r="X56" s="155"/>
      <c r="Y56" s="155"/>
    </row>
    <row r="57" spans="1:25" x14ac:dyDescent="0.25">
      <c r="A57" s="155"/>
      <c r="B57" s="155"/>
      <c r="C57" s="155"/>
      <c r="D57" s="155"/>
      <c r="E57" s="155"/>
      <c r="F57" s="155"/>
      <c r="G57" s="155"/>
      <c r="H57" s="155"/>
      <c r="I57" s="155"/>
      <c r="J57" s="155"/>
      <c r="K57" s="155"/>
      <c r="L57" s="155"/>
      <c r="M57" s="155"/>
      <c r="N57" s="155"/>
      <c r="O57" s="155"/>
      <c r="P57" s="155"/>
      <c r="Q57" s="155"/>
      <c r="R57" s="155"/>
      <c r="S57" s="155"/>
      <c r="T57" s="155"/>
      <c r="U57" s="155"/>
      <c r="V57" s="155"/>
      <c r="W57" s="155"/>
      <c r="X57" s="155"/>
      <c r="Y57" s="155"/>
    </row>
    <row r="58" spans="1:25" x14ac:dyDescent="0.25">
      <c r="A58" s="47"/>
      <c r="B58" s="153" t="s">
        <v>727</v>
      </c>
      <c r="C58" s="153"/>
      <c r="J58" s="4"/>
      <c r="K58" s="4"/>
      <c r="L58" s="4"/>
      <c r="M58" s="4"/>
    </row>
    <row r="59" spans="1:25" x14ac:dyDescent="0.25">
      <c r="A59" s="48" t="s">
        <v>893</v>
      </c>
      <c r="B59" s="66" t="s">
        <v>894</v>
      </c>
      <c r="C59" s="66" t="s">
        <v>730</v>
      </c>
      <c r="D59" s="67" t="s">
        <v>731</v>
      </c>
      <c r="E59" s="56" t="s">
        <v>732</v>
      </c>
      <c r="F59" s="56" t="s">
        <v>733</v>
      </c>
      <c r="G59" s="56" t="s">
        <v>732</v>
      </c>
      <c r="H59" s="56" t="s">
        <v>733</v>
      </c>
      <c r="I59" s="67" t="s">
        <v>731</v>
      </c>
      <c r="J59" s="56" t="s">
        <v>734</v>
      </c>
      <c r="K59" s="56" t="s">
        <v>733</v>
      </c>
      <c r="L59" s="56" t="s">
        <v>734</v>
      </c>
      <c r="M59" s="56" t="s">
        <v>733</v>
      </c>
      <c r="N59" s="67" t="s">
        <v>731</v>
      </c>
      <c r="O59" s="56" t="s">
        <v>735</v>
      </c>
      <c r="P59" s="56" t="s">
        <v>733</v>
      </c>
      <c r="Q59" s="56" t="s">
        <v>735</v>
      </c>
      <c r="R59" s="56" t="s">
        <v>733</v>
      </c>
      <c r="S59" s="67" t="s">
        <v>731</v>
      </c>
      <c r="T59" s="56" t="s">
        <v>736</v>
      </c>
      <c r="U59" s="56" t="s">
        <v>733</v>
      </c>
      <c r="V59" s="56" t="s">
        <v>736</v>
      </c>
      <c r="W59" s="56" t="s">
        <v>733</v>
      </c>
      <c r="Y59" s="57" t="s">
        <v>737</v>
      </c>
    </row>
    <row r="60" spans="1:25" x14ac:dyDescent="0.25">
      <c r="A60" s="47"/>
      <c r="C60" s="4"/>
      <c r="R60" s="48"/>
      <c r="U60" s="48"/>
      <c r="W60" s="48"/>
    </row>
    <row r="61" spans="1:25" x14ac:dyDescent="0.25">
      <c r="A61" s="48" t="s">
        <v>575</v>
      </c>
      <c r="B61" s="59" t="s">
        <v>754</v>
      </c>
      <c r="C61" s="59" t="s">
        <v>755</v>
      </c>
      <c r="D61" s="67">
        <v>7</v>
      </c>
      <c r="E61" s="61" t="s">
        <v>756</v>
      </c>
      <c r="F61" s="62" t="s">
        <v>65</v>
      </c>
      <c r="G61" s="61" t="s">
        <v>746</v>
      </c>
      <c r="H61" s="62">
        <v>1</v>
      </c>
      <c r="I61" s="67">
        <v>7</v>
      </c>
      <c r="J61" s="61" t="s">
        <v>321</v>
      </c>
      <c r="K61" s="62" t="s">
        <v>65</v>
      </c>
      <c r="L61" s="61" t="s">
        <v>742</v>
      </c>
      <c r="M61" s="62" t="s">
        <v>743</v>
      </c>
      <c r="N61" s="67">
        <v>7</v>
      </c>
      <c r="O61" s="61" t="s">
        <v>746</v>
      </c>
      <c r="P61" s="62">
        <v>2</v>
      </c>
      <c r="Q61" s="61" t="s">
        <v>742</v>
      </c>
      <c r="R61" s="62" t="s">
        <v>743</v>
      </c>
      <c r="S61" s="67">
        <v>7</v>
      </c>
      <c r="T61" s="61" t="s">
        <v>757</v>
      </c>
      <c r="U61" s="62">
        <v>3</v>
      </c>
      <c r="V61" s="61" t="s">
        <v>756</v>
      </c>
      <c r="W61" s="62" t="s">
        <v>64</v>
      </c>
    </row>
    <row r="62" spans="1:25" x14ac:dyDescent="0.25">
      <c r="A62" s="48" t="s">
        <v>575</v>
      </c>
      <c r="B62" s="47" t="s">
        <v>758</v>
      </c>
      <c r="C62" s="47" t="s">
        <v>759</v>
      </c>
      <c r="D62" s="48">
        <v>7</v>
      </c>
      <c r="E62" s="60" t="s">
        <v>760</v>
      </c>
      <c r="F62" s="48" t="s">
        <v>66</v>
      </c>
      <c r="G62" s="60" t="s">
        <v>741</v>
      </c>
      <c r="H62" s="48">
        <v>1</v>
      </c>
      <c r="I62" s="48">
        <v>7</v>
      </c>
      <c r="J62" s="48" t="s">
        <v>762</v>
      </c>
      <c r="K62" s="48" t="s">
        <v>65</v>
      </c>
      <c r="L62" s="60" t="s">
        <v>836</v>
      </c>
      <c r="M62" s="5">
        <v>1</v>
      </c>
      <c r="N62" s="48">
        <v>6</v>
      </c>
      <c r="O62" s="58" t="s">
        <v>761</v>
      </c>
      <c r="P62" s="5">
        <v>2</v>
      </c>
      <c r="Q62" s="60" t="s">
        <v>742</v>
      </c>
      <c r="R62" s="48" t="s">
        <v>743</v>
      </c>
      <c r="S62" s="48">
        <v>7</v>
      </c>
      <c r="T62" s="58" t="s">
        <v>761</v>
      </c>
      <c r="U62" s="5" t="s">
        <v>64</v>
      </c>
      <c r="V62" s="48" t="s">
        <v>762</v>
      </c>
      <c r="W62" s="48" t="s">
        <v>64</v>
      </c>
    </row>
    <row r="63" spans="1:25" x14ac:dyDescent="0.25">
      <c r="A63" s="48">
        <v>0</v>
      </c>
      <c r="B63" s="59" t="s">
        <v>763</v>
      </c>
      <c r="C63" s="59" t="s">
        <v>764</v>
      </c>
      <c r="D63" s="67">
        <v>6</v>
      </c>
      <c r="E63" s="61" t="s">
        <v>765</v>
      </c>
      <c r="F63" s="62" t="s">
        <v>65</v>
      </c>
      <c r="G63" s="61" t="s">
        <v>742</v>
      </c>
      <c r="H63" s="62" t="s">
        <v>743</v>
      </c>
      <c r="I63" s="67">
        <v>7</v>
      </c>
      <c r="J63" s="61" t="s">
        <v>766</v>
      </c>
      <c r="K63" s="62">
        <v>1</v>
      </c>
      <c r="L63" s="61" t="s">
        <v>753</v>
      </c>
      <c r="M63" s="62" t="s">
        <v>64</v>
      </c>
      <c r="N63" s="67">
        <v>6</v>
      </c>
      <c r="O63" s="61" t="s">
        <v>767</v>
      </c>
      <c r="P63" s="62">
        <v>2</v>
      </c>
      <c r="Q63" s="61" t="s">
        <v>753</v>
      </c>
      <c r="R63" s="62" t="s">
        <v>64</v>
      </c>
      <c r="S63" s="67">
        <v>6</v>
      </c>
      <c r="T63" s="61" t="s">
        <v>311</v>
      </c>
      <c r="U63" s="62" t="s">
        <v>64</v>
      </c>
      <c r="V63" s="61" t="s">
        <v>765</v>
      </c>
      <c r="W63" s="62">
        <v>1</v>
      </c>
      <c r="Y63" s="47"/>
    </row>
    <row r="64" spans="1:25" x14ac:dyDescent="0.25">
      <c r="A64" s="48">
        <v>0</v>
      </c>
      <c r="B64" s="47" t="s">
        <v>768</v>
      </c>
      <c r="C64" s="47" t="s">
        <v>769</v>
      </c>
      <c r="D64" s="48">
        <v>7</v>
      </c>
      <c r="E64" s="60" t="s">
        <v>767</v>
      </c>
      <c r="F64" s="48">
        <v>2</v>
      </c>
      <c r="G64" s="60" t="s">
        <v>742</v>
      </c>
      <c r="H64" s="48" t="s">
        <v>743</v>
      </c>
      <c r="I64" s="48">
        <v>5</v>
      </c>
      <c r="J64" s="60" t="s">
        <v>744</v>
      </c>
      <c r="K64" s="48">
        <v>2</v>
      </c>
      <c r="L64" s="58" t="s">
        <v>770</v>
      </c>
      <c r="M64" s="48" t="s">
        <v>65</v>
      </c>
      <c r="N64" s="48">
        <v>6</v>
      </c>
      <c r="O64" s="60" t="s">
        <v>744</v>
      </c>
      <c r="P64" s="48" t="s">
        <v>66</v>
      </c>
      <c r="Q64" s="60" t="s">
        <v>742</v>
      </c>
      <c r="R64" s="48" t="s">
        <v>743</v>
      </c>
      <c r="S64" s="48">
        <v>7</v>
      </c>
      <c r="T64" s="60" t="s">
        <v>767</v>
      </c>
      <c r="U64" s="48" t="s">
        <v>64</v>
      </c>
      <c r="V64" s="58" t="s">
        <v>745</v>
      </c>
      <c r="W64" s="48">
        <v>1</v>
      </c>
      <c r="Y64" s="47"/>
    </row>
    <row r="65" spans="1:25" x14ac:dyDescent="0.25">
      <c r="A65" s="48" t="s">
        <v>575</v>
      </c>
      <c r="B65" s="59" t="s">
        <v>771</v>
      </c>
      <c r="C65" s="59" t="s">
        <v>772</v>
      </c>
      <c r="D65" s="67">
        <v>7</v>
      </c>
      <c r="E65" s="61" t="s">
        <v>749</v>
      </c>
      <c r="F65" s="62" t="s">
        <v>65</v>
      </c>
      <c r="G65" s="61" t="s">
        <v>742</v>
      </c>
      <c r="H65" s="62" t="s">
        <v>743</v>
      </c>
      <c r="I65" s="67">
        <v>6</v>
      </c>
      <c r="J65" s="61" t="s">
        <v>287</v>
      </c>
      <c r="K65" s="62" t="s">
        <v>64</v>
      </c>
      <c r="L65" s="61" t="s">
        <v>773</v>
      </c>
      <c r="M65" s="62">
        <v>1</v>
      </c>
      <c r="N65" s="67">
        <v>6</v>
      </c>
      <c r="O65" s="61" t="s">
        <v>289</v>
      </c>
      <c r="P65" s="62">
        <v>2</v>
      </c>
      <c r="Q65" s="61" t="s">
        <v>742</v>
      </c>
      <c r="R65" s="62" t="s">
        <v>743</v>
      </c>
      <c r="S65" s="67">
        <v>5</v>
      </c>
      <c r="T65" s="61" t="s">
        <v>779</v>
      </c>
      <c r="U65" s="62" t="s">
        <v>65</v>
      </c>
      <c r="V65" s="61" t="s">
        <v>775</v>
      </c>
      <c r="W65" s="62">
        <v>1</v>
      </c>
      <c r="Y65" s="4"/>
    </row>
    <row r="66" spans="1:25" x14ac:dyDescent="0.25">
      <c r="A66" s="48">
        <v>0</v>
      </c>
      <c r="B66" s="47" t="s">
        <v>776</v>
      </c>
      <c r="C66" s="47" t="s">
        <v>777</v>
      </c>
      <c r="D66" s="48">
        <v>7</v>
      </c>
      <c r="E66" s="60" t="s">
        <v>778</v>
      </c>
      <c r="F66" s="48" t="s">
        <v>65</v>
      </c>
      <c r="G66" s="58" t="s">
        <v>742</v>
      </c>
      <c r="H66" s="5" t="s">
        <v>743</v>
      </c>
      <c r="I66" s="48">
        <v>6</v>
      </c>
      <c r="J66" s="60" t="s">
        <v>289</v>
      </c>
      <c r="K66" s="48" t="s">
        <v>64</v>
      </c>
      <c r="L66" s="60" t="s">
        <v>779</v>
      </c>
      <c r="M66" s="48">
        <v>1</v>
      </c>
      <c r="N66" s="48">
        <v>6</v>
      </c>
      <c r="O66" s="60" t="s">
        <v>780</v>
      </c>
      <c r="P66" s="48">
        <v>2</v>
      </c>
      <c r="Q66" s="60" t="s">
        <v>742</v>
      </c>
      <c r="R66" s="48" t="s">
        <v>743</v>
      </c>
      <c r="S66" s="48">
        <v>7</v>
      </c>
      <c r="T66" s="60" t="s">
        <v>778</v>
      </c>
      <c r="U66" s="48" t="s">
        <v>65</v>
      </c>
      <c r="V66" s="60" t="s">
        <v>742</v>
      </c>
      <c r="W66" s="48" t="s">
        <v>743</v>
      </c>
      <c r="Y66" s="47"/>
    </row>
    <row r="67" spans="1:25" x14ac:dyDescent="0.25">
      <c r="A67" s="48" t="s">
        <v>575</v>
      </c>
      <c r="B67" s="59" t="s">
        <v>783</v>
      </c>
      <c r="C67" s="59" t="s">
        <v>784</v>
      </c>
      <c r="D67" s="67">
        <v>7</v>
      </c>
      <c r="E67" s="61" t="s">
        <v>785</v>
      </c>
      <c r="F67" s="62" t="s">
        <v>65</v>
      </c>
      <c r="G67" s="61" t="s">
        <v>742</v>
      </c>
      <c r="H67" s="62" t="s">
        <v>743</v>
      </c>
      <c r="I67" s="67">
        <v>6</v>
      </c>
      <c r="J67" s="61" t="s">
        <v>789</v>
      </c>
      <c r="K67" s="62" t="s">
        <v>65</v>
      </c>
      <c r="L67" s="61" t="s">
        <v>787</v>
      </c>
      <c r="M67" s="62">
        <v>1</v>
      </c>
      <c r="N67" s="67">
        <v>6</v>
      </c>
      <c r="O67" s="61" t="s">
        <v>788</v>
      </c>
      <c r="P67" s="62">
        <v>2</v>
      </c>
      <c r="Q67" s="61" t="s">
        <v>786</v>
      </c>
      <c r="R67" s="62">
        <v>1</v>
      </c>
      <c r="S67" s="67">
        <v>6</v>
      </c>
      <c r="T67" s="61" t="s">
        <v>789</v>
      </c>
      <c r="U67" s="62" t="s">
        <v>66</v>
      </c>
      <c r="V67" s="61" t="s">
        <v>742</v>
      </c>
      <c r="W67" s="62" t="s">
        <v>743</v>
      </c>
      <c r="Y67" s="47"/>
    </row>
    <row r="68" spans="1:25" x14ac:dyDescent="0.25">
      <c r="A68" s="48" t="s">
        <v>575</v>
      </c>
      <c r="B68" s="47" t="s">
        <v>790</v>
      </c>
      <c r="C68" s="47" t="s">
        <v>791</v>
      </c>
      <c r="D68" s="48">
        <v>7</v>
      </c>
      <c r="E68" s="60" t="s">
        <v>305</v>
      </c>
      <c r="F68" s="48" t="s">
        <v>65</v>
      </c>
      <c r="G68" s="58" t="s">
        <v>742</v>
      </c>
      <c r="H68" s="5" t="s">
        <v>743</v>
      </c>
      <c r="I68" s="48">
        <v>6</v>
      </c>
      <c r="J68" s="60" t="s">
        <v>767</v>
      </c>
      <c r="K68" s="48">
        <v>2</v>
      </c>
      <c r="L68" s="60" t="s">
        <v>305</v>
      </c>
      <c r="M68" s="48">
        <v>1</v>
      </c>
      <c r="N68" s="48">
        <v>6</v>
      </c>
      <c r="O68" s="60" t="s">
        <v>773</v>
      </c>
      <c r="P68" s="48">
        <v>2</v>
      </c>
      <c r="Q68" s="60" t="s">
        <v>742</v>
      </c>
      <c r="R68" s="48" t="s">
        <v>743</v>
      </c>
      <c r="S68" s="48">
        <v>7</v>
      </c>
      <c r="T68" s="60" t="s">
        <v>305</v>
      </c>
      <c r="U68" s="48">
        <v>2</v>
      </c>
      <c r="V68" s="60" t="s">
        <v>742</v>
      </c>
      <c r="W68" s="48" t="s">
        <v>743</v>
      </c>
      <c r="Y68" s="4"/>
    </row>
    <row r="69" spans="1:25" x14ac:dyDescent="0.25">
      <c r="A69" s="48" t="s">
        <v>575</v>
      </c>
      <c r="B69" s="59" t="s">
        <v>793</v>
      </c>
      <c r="C69" s="59" t="s">
        <v>794</v>
      </c>
      <c r="D69" s="67">
        <v>6</v>
      </c>
      <c r="E69" s="61" t="s">
        <v>795</v>
      </c>
      <c r="F69" s="62" t="s">
        <v>65</v>
      </c>
      <c r="G69" s="61" t="s">
        <v>742</v>
      </c>
      <c r="H69" s="62" t="s">
        <v>743</v>
      </c>
      <c r="I69" s="67">
        <v>4</v>
      </c>
      <c r="J69" s="61" t="s">
        <v>796</v>
      </c>
      <c r="K69" s="62" t="s">
        <v>66</v>
      </c>
      <c r="L69" s="61" t="s">
        <v>751</v>
      </c>
      <c r="M69" s="62">
        <v>1</v>
      </c>
      <c r="N69" s="67">
        <v>6</v>
      </c>
      <c r="O69" s="61" t="s">
        <v>795</v>
      </c>
      <c r="P69" s="62" t="s">
        <v>65</v>
      </c>
      <c r="Q69" s="61" t="s">
        <v>742</v>
      </c>
      <c r="R69" s="62" t="s">
        <v>743</v>
      </c>
      <c r="S69" s="67">
        <v>7</v>
      </c>
      <c r="T69" s="61" t="s">
        <v>797</v>
      </c>
      <c r="U69" s="62" t="s">
        <v>65</v>
      </c>
      <c r="V69" s="61" t="s">
        <v>742</v>
      </c>
      <c r="W69" s="62" t="s">
        <v>743</v>
      </c>
      <c r="Y69" s="4"/>
    </row>
    <row r="70" spans="1:25" x14ac:dyDescent="0.25">
      <c r="A70" s="48">
        <v>0</v>
      </c>
      <c r="B70" s="63" t="s">
        <v>798</v>
      </c>
      <c r="C70" s="63" t="s">
        <v>799</v>
      </c>
      <c r="D70" s="64">
        <v>7</v>
      </c>
      <c r="E70" s="65" t="s">
        <v>317</v>
      </c>
      <c r="F70" s="64" t="s">
        <v>65</v>
      </c>
      <c r="G70" s="65" t="s">
        <v>742</v>
      </c>
      <c r="H70" s="64" t="s">
        <v>743</v>
      </c>
      <c r="I70" s="64">
        <v>6</v>
      </c>
      <c r="J70" s="65" t="s">
        <v>800</v>
      </c>
      <c r="K70" s="64" t="s">
        <v>65</v>
      </c>
      <c r="L70" s="65" t="s">
        <v>317</v>
      </c>
      <c r="M70" s="64" t="s">
        <v>64</v>
      </c>
      <c r="N70" s="64">
        <v>7</v>
      </c>
      <c r="O70" s="65" t="s">
        <v>800</v>
      </c>
      <c r="P70" s="64" t="s">
        <v>64</v>
      </c>
      <c r="Q70" s="65" t="s">
        <v>746</v>
      </c>
      <c r="R70" s="64" t="s">
        <v>64</v>
      </c>
      <c r="S70" s="64">
        <v>7</v>
      </c>
      <c r="T70" s="65" t="s">
        <v>746</v>
      </c>
      <c r="U70" s="64" t="s">
        <v>65</v>
      </c>
      <c r="V70" s="65" t="s">
        <v>742</v>
      </c>
      <c r="W70" s="64" t="s">
        <v>743</v>
      </c>
      <c r="Y70" s="4"/>
    </row>
    <row r="71" spans="1:25" x14ac:dyDescent="0.25">
      <c r="A71" s="48">
        <v>0</v>
      </c>
      <c r="B71" s="59" t="s">
        <v>801</v>
      </c>
      <c r="C71" s="59" t="s">
        <v>802</v>
      </c>
      <c r="D71" s="67">
        <v>9</v>
      </c>
      <c r="E71" s="61" t="s">
        <v>742</v>
      </c>
      <c r="F71" s="62" t="s">
        <v>743</v>
      </c>
      <c r="G71" s="61" t="s">
        <v>742</v>
      </c>
      <c r="H71" s="62" t="s">
        <v>743</v>
      </c>
      <c r="I71" s="67">
        <v>9</v>
      </c>
      <c r="J71" s="61" t="s">
        <v>742</v>
      </c>
      <c r="K71" s="62" t="s">
        <v>743</v>
      </c>
      <c r="L71" s="61" t="s">
        <v>742</v>
      </c>
      <c r="M71" s="62" t="s">
        <v>743</v>
      </c>
      <c r="N71" s="67">
        <v>9</v>
      </c>
      <c r="O71" s="61" t="s">
        <v>742</v>
      </c>
      <c r="P71" s="62" t="s">
        <v>743</v>
      </c>
      <c r="Q71" s="61" t="s">
        <v>742</v>
      </c>
      <c r="R71" s="62" t="s">
        <v>743</v>
      </c>
      <c r="S71" s="67">
        <v>9</v>
      </c>
      <c r="T71" s="61" t="s">
        <v>742</v>
      </c>
      <c r="U71" s="62" t="s">
        <v>743</v>
      </c>
      <c r="V71" s="61" t="s">
        <v>742</v>
      </c>
      <c r="W71" s="62" t="s">
        <v>743</v>
      </c>
      <c r="Y71" s="47"/>
    </row>
    <row r="72" spans="1:25" x14ac:dyDescent="0.25">
      <c r="A72" s="48">
        <v>0</v>
      </c>
      <c r="B72" s="47" t="s">
        <v>803</v>
      </c>
      <c r="C72" s="47" t="s">
        <v>804</v>
      </c>
      <c r="D72" s="48">
        <v>7</v>
      </c>
      <c r="E72" s="60" t="s">
        <v>805</v>
      </c>
      <c r="F72" s="48">
        <v>2</v>
      </c>
      <c r="G72" s="65" t="s">
        <v>742</v>
      </c>
      <c r="H72" s="64" t="s">
        <v>743</v>
      </c>
      <c r="I72" s="48">
        <v>3</v>
      </c>
      <c r="J72" s="60" t="s">
        <v>773</v>
      </c>
      <c r="K72" s="48" t="s">
        <v>66</v>
      </c>
      <c r="L72" s="60" t="s">
        <v>806</v>
      </c>
      <c r="M72" s="48">
        <v>1</v>
      </c>
      <c r="N72" s="48">
        <v>4</v>
      </c>
      <c r="O72" s="60" t="s">
        <v>807</v>
      </c>
      <c r="P72" s="48" t="s">
        <v>66</v>
      </c>
      <c r="Q72" s="60" t="s">
        <v>808</v>
      </c>
      <c r="R72" s="48">
        <v>1</v>
      </c>
      <c r="S72" s="48">
        <v>7</v>
      </c>
      <c r="T72" s="60" t="s">
        <v>809</v>
      </c>
      <c r="U72" s="48">
        <v>2</v>
      </c>
      <c r="V72" s="65" t="s">
        <v>742</v>
      </c>
      <c r="W72" s="64" t="s">
        <v>743</v>
      </c>
      <c r="Y72" s="47"/>
    </row>
    <row r="73" spans="1:25" x14ac:dyDescent="0.25">
      <c r="A73" s="48">
        <v>0</v>
      </c>
      <c r="B73" s="59" t="s">
        <v>810</v>
      </c>
      <c r="C73" s="59" t="s">
        <v>811</v>
      </c>
      <c r="D73" s="67">
        <v>7</v>
      </c>
      <c r="E73" s="61" t="s">
        <v>812</v>
      </c>
      <c r="F73" s="62" t="s">
        <v>66</v>
      </c>
      <c r="G73" s="61" t="s">
        <v>748</v>
      </c>
      <c r="H73" s="62">
        <v>1</v>
      </c>
      <c r="I73" s="67">
        <v>6</v>
      </c>
      <c r="J73" s="61" t="s">
        <v>313</v>
      </c>
      <c r="K73" s="62">
        <v>2</v>
      </c>
      <c r="L73" s="61" t="s">
        <v>742</v>
      </c>
      <c r="M73" s="62" t="s">
        <v>743</v>
      </c>
      <c r="N73" s="67">
        <v>6</v>
      </c>
      <c r="O73" s="61" t="s">
        <v>782</v>
      </c>
      <c r="P73" s="62">
        <v>3</v>
      </c>
      <c r="Q73" s="61" t="s">
        <v>779</v>
      </c>
      <c r="R73" s="62">
        <v>1</v>
      </c>
      <c r="S73" s="67">
        <v>7</v>
      </c>
      <c r="T73" s="61" t="s">
        <v>301</v>
      </c>
      <c r="U73" s="62" t="s">
        <v>65</v>
      </c>
      <c r="V73" s="61" t="s">
        <v>742</v>
      </c>
      <c r="W73" s="62" t="s">
        <v>743</v>
      </c>
      <c r="Y73" s="47"/>
    </row>
    <row r="74" spans="1:25" x14ac:dyDescent="0.25">
      <c r="A74" s="48" t="s">
        <v>575</v>
      </c>
      <c r="B74" s="47" t="s">
        <v>813</v>
      </c>
      <c r="C74" s="47" t="s">
        <v>814</v>
      </c>
      <c r="D74" s="48">
        <v>7</v>
      </c>
      <c r="E74" s="60" t="s">
        <v>815</v>
      </c>
      <c r="F74" s="48" t="s">
        <v>65</v>
      </c>
      <c r="G74" s="65" t="s">
        <v>742</v>
      </c>
      <c r="H74" s="64" t="s">
        <v>743</v>
      </c>
      <c r="I74" s="48">
        <v>7</v>
      </c>
      <c r="J74" s="60" t="s">
        <v>753</v>
      </c>
      <c r="K74" s="48">
        <v>2</v>
      </c>
      <c r="L74" s="65" t="s">
        <v>742</v>
      </c>
      <c r="M74" s="64" t="s">
        <v>743</v>
      </c>
      <c r="N74" s="48">
        <v>6</v>
      </c>
      <c r="O74" s="60" t="s">
        <v>816</v>
      </c>
      <c r="P74" s="48">
        <v>2</v>
      </c>
      <c r="Q74" s="60" t="s">
        <v>742</v>
      </c>
      <c r="R74" s="48" t="s">
        <v>743</v>
      </c>
      <c r="S74" s="48">
        <v>6</v>
      </c>
      <c r="T74" s="60" t="s">
        <v>816</v>
      </c>
      <c r="U74" s="48" t="s">
        <v>65</v>
      </c>
      <c r="V74" s="60" t="s">
        <v>742</v>
      </c>
      <c r="W74" s="48" t="s">
        <v>743</v>
      </c>
      <c r="Y74" s="47"/>
    </row>
    <row r="75" spans="1:25" x14ac:dyDescent="0.25">
      <c r="A75" s="48" t="s">
        <v>64</v>
      </c>
      <c r="B75" s="59" t="s">
        <v>817</v>
      </c>
      <c r="C75" s="59" t="s">
        <v>818</v>
      </c>
      <c r="D75" s="67">
        <v>7</v>
      </c>
      <c r="E75" s="61" t="s">
        <v>820</v>
      </c>
      <c r="F75" s="62" t="s">
        <v>65</v>
      </c>
      <c r="G75" s="61" t="s">
        <v>742</v>
      </c>
      <c r="H75" s="62" t="s">
        <v>743</v>
      </c>
      <c r="I75" s="67">
        <v>5</v>
      </c>
      <c r="J75" s="61" t="s">
        <v>283</v>
      </c>
      <c r="K75" s="62">
        <v>2</v>
      </c>
      <c r="L75" s="61" t="s">
        <v>277</v>
      </c>
      <c r="M75" s="62" t="s">
        <v>65</v>
      </c>
      <c r="N75" s="67">
        <v>6</v>
      </c>
      <c r="O75" s="61" t="s">
        <v>277</v>
      </c>
      <c r="P75" s="62" t="s">
        <v>65</v>
      </c>
      <c r="Q75" s="61" t="s">
        <v>819</v>
      </c>
      <c r="R75" s="62">
        <v>1</v>
      </c>
      <c r="S75" s="67">
        <v>6</v>
      </c>
      <c r="T75" s="61" t="s">
        <v>283</v>
      </c>
      <c r="U75" s="62">
        <v>3</v>
      </c>
      <c r="V75" s="61" t="s">
        <v>742</v>
      </c>
      <c r="W75" s="62" t="s">
        <v>743</v>
      </c>
      <c r="Y75" s="47"/>
    </row>
    <row r="76" spans="1:25" x14ac:dyDescent="0.25">
      <c r="A76" s="48" t="s">
        <v>575</v>
      </c>
      <c r="B76" s="47" t="s">
        <v>821</v>
      </c>
      <c r="C76" s="47" t="s">
        <v>822</v>
      </c>
      <c r="D76" s="48">
        <v>7</v>
      </c>
      <c r="E76" s="60" t="s">
        <v>823</v>
      </c>
      <c r="F76" s="48" t="s">
        <v>65</v>
      </c>
      <c r="G76" s="65" t="s">
        <v>742</v>
      </c>
      <c r="H76" s="64" t="s">
        <v>743</v>
      </c>
      <c r="I76" s="48">
        <v>6</v>
      </c>
      <c r="J76" s="60" t="s">
        <v>824</v>
      </c>
      <c r="K76" s="48" t="s">
        <v>65</v>
      </c>
      <c r="L76" s="65" t="s">
        <v>742</v>
      </c>
      <c r="M76" s="64" t="s">
        <v>743</v>
      </c>
      <c r="N76" s="48">
        <v>6</v>
      </c>
      <c r="O76" s="60" t="s">
        <v>867</v>
      </c>
      <c r="P76" s="48">
        <v>2</v>
      </c>
      <c r="Q76" s="60" t="s">
        <v>742</v>
      </c>
      <c r="R76" s="48" t="s">
        <v>743</v>
      </c>
      <c r="S76" s="48">
        <v>6</v>
      </c>
      <c r="T76" s="60" t="s">
        <v>825</v>
      </c>
      <c r="U76" s="48">
        <v>2</v>
      </c>
      <c r="V76" s="60" t="s">
        <v>742</v>
      </c>
      <c r="W76" s="48" t="s">
        <v>743</v>
      </c>
      <c r="Y76" s="47"/>
    </row>
    <row r="77" spans="1:25" x14ac:dyDescent="0.25">
      <c r="A77" s="48">
        <v>0</v>
      </c>
      <c r="B77" s="59" t="s">
        <v>826</v>
      </c>
      <c r="C77" s="59" t="s">
        <v>827</v>
      </c>
      <c r="D77" s="67">
        <v>6</v>
      </c>
      <c r="E77" s="61" t="s">
        <v>828</v>
      </c>
      <c r="F77" s="62">
        <v>2</v>
      </c>
      <c r="G77" s="61" t="s">
        <v>742</v>
      </c>
      <c r="H77" s="62" t="s">
        <v>743</v>
      </c>
      <c r="I77" s="67">
        <v>6</v>
      </c>
      <c r="J77" s="61" t="s">
        <v>828</v>
      </c>
      <c r="K77" s="62">
        <v>1</v>
      </c>
      <c r="L77" s="62" t="s">
        <v>829</v>
      </c>
      <c r="M77" s="62">
        <v>1</v>
      </c>
      <c r="N77" s="67">
        <v>6</v>
      </c>
      <c r="O77" s="61" t="s">
        <v>293</v>
      </c>
      <c r="P77" s="62">
        <v>1</v>
      </c>
      <c r="Q77" s="61" t="s">
        <v>796</v>
      </c>
      <c r="R77" s="62">
        <v>1</v>
      </c>
      <c r="S77" s="67">
        <v>6</v>
      </c>
      <c r="T77" s="61" t="s">
        <v>293</v>
      </c>
      <c r="U77" s="62" t="s">
        <v>65</v>
      </c>
      <c r="V77" s="61" t="s">
        <v>742</v>
      </c>
      <c r="W77" s="62" t="s">
        <v>743</v>
      </c>
      <c r="Y77" s="47"/>
    </row>
    <row r="78" spans="1:25" x14ac:dyDescent="0.25">
      <c r="A78" s="48">
        <v>0</v>
      </c>
      <c r="B78" s="47" t="s">
        <v>830</v>
      </c>
      <c r="C78" s="47" t="s">
        <v>831</v>
      </c>
      <c r="D78" s="48">
        <v>6</v>
      </c>
      <c r="E78" s="60" t="s">
        <v>287</v>
      </c>
      <c r="F78" s="48">
        <v>2</v>
      </c>
      <c r="G78" s="60" t="s">
        <v>742</v>
      </c>
      <c r="H78" s="48" t="s">
        <v>743</v>
      </c>
      <c r="I78" s="48">
        <v>6</v>
      </c>
      <c r="J78" s="60" t="s">
        <v>779</v>
      </c>
      <c r="K78" s="48" t="s">
        <v>65</v>
      </c>
      <c r="L78" s="65" t="s">
        <v>742</v>
      </c>
      <c r="M78" s="64" t="s">
        <v>743</v>
      </c>
      <c r="N78" s="48">
        <v>6</v>
      </c>
      <c r="O78" s="60" t="s">
        <v>832</v>
      </c>
      <c r="P78" s="48">
        <v>1</v>
      </c>
      <c r="Q78" s="60" t="s">
        <v>781</v>
      </c>
      <c r="R78" s="48" t="s">
        <v>66</v>
      </c>
      <c r="S78" s="48">
        <v>3</v>
      </c>
      <c r="T78" s="60" t="s">
        <v>833</v>
      </c>
      <c r="U78" s="48" t="s">
        <v>67</v>
      </c>
      <c r="V78" s="60" t="s">
        <v>742</v>
      </c>
      <c r="W78" s="48" t="s">
        <v>743</v>
      </c>
      <c r="Y78" s="47"/>
    </row>
    <row r="79" spans="1:25" x14ac:dyDescent="0.25">
      <c r="A79" s="48" t="s">
        <v>575</v>
      </c>
      <c r="B79" s="59" t="s">
        <v>834</v>
      </c>
      <c r="C79" s="59" t="s">
        <v>835</v>
      </c>
      <c r="D79" s="67">
        <v>7</v>
      </c>
      <c r="E79" s="61" t="s">
        <v>770</v>
      </c>
      <c r="F79" s="62">
        <v>2</v>
      </c>
      <c r="G79" s="61" t="s">
        <v>742</v>
      </c>
      <c r="H79" s="62" t="s">
        <v>743</v>
      </c>
      <c r="I79" s="67">
        <v>3</v>
      </c>
      <c r="J79" s="61" t="s">
        <v>319</v>
      </c>
      <c r="K79" s="62" t="s">
        <v>67</v>
      </c>
      <c r="L79" s="61" t="s">
        <v>742</v>
      </c>
      <c r="M79" s="62" t="s">
        <v>743</v>
      </c>
      <c r="N79" s="67">
        <v>7</v>
      </c>
      <c r="O79" s="61" t="s">
        <v>770</v>
      </c>
      <c r="P79" s="62">
        <v>1</v>
      </c>
      <c r="Q79" s="61" t="s">
        <v>836</v>
      </c>
      <c r="R79" s="62">
        <v>1</v>
      </c>
      <c r="S79" s="67">
        <v>6</v>
      </c>
      <c r="T79" s="62" t="s">
        <v>805</v>
      </c>
      <c r="U79" s="62">
        <v>2</v>
      </c>
      <c r="V79" s="61" t="s">
        <v>837</v>
      </c>
      <c r="W79" s="62">
        <v>1</v>
      </c>
      <c r="X79" s="4"/>
      <c r="Y79" s="4"/>
    </row>
    <row r="80" spans="1:25" x14ac:dyDescent="0.25">
      <c r="A80" s="48" t="s">
        <v>575</v>
      </c>
      <c r="B80" s="47" t="s">
        <v>838</v>
      </c>
      <c r="C80" s="47" t="s">
        <v>839</v>
      </c>
      <c r="D80" s="48">
        <v>6</v>
      </c>
      <c r="E80" s="60" t="s">
        <v>840</v>
      </c>
      <c r="F80" s="48">
        <v>2</v>
      </c>
      <c r="G80" s="60" t="s">
        <v>742</v>
      </c>
      <c r="H80" s="48" t="s">
        <v>743</v>
      </c>
      <c r="I80" s="48">
        <v>6</v>
      </c>
      <c r="J80" s="60" t="s">
        <v>841</v>
      </c>
      <c r="K80" s="48" t="s">
        <v>65</v>
      </c>
      <c r="L80" s="65" t="s">
        <v>742</v>
      </c>
      <c r="M80" s="64" t="s">
        <v>743</v>
      </c>
      <c r="N80" s="48">
        <v>3</v>
      </c>
      <c r="O80" s="60" t="s">
        <v>840</v>
      </c>
      <c r="P80" s="48" t="s">
        <v>65</v>
      </c>
      <c r="Q80" s="60" t="s">
        <v>289</v>
      </c>
      <c r="R80" s="48" t="s">
        <v>65</v>
      </c>
      <c r="S80" s="48">
        <v>4</v>
      </c>
      <c r="T80" s="58" t="s">
        <v>842</v>
      </c>
      <c r="U80" s="5" t="s">
        <v>66</v>
      </c>
      <c r="V80" s="58" t="s">
        <v>741</v>
      </c>
      <c r="W80" s="5" t="s">
        <v>64</v>
      </c>
      <c r="Y80" s="47"/>
    </row>
    <row r="81" spans="1:25" x14ac:dyDescent="0.25">
      <c r="A81" s="48">
        <v>0</v>
      </c>
      <c r="B81" s="59" t="s">
        <v>843</v>
      </c>
      <c r="C81" s="59" t="s">
        <v>844</v>
      </c>
      <c r="D81" s="67">
        <v>7</v>
      </c>
      <c r="E81" s="61" t="s">
        <v>788</v>
      </c>
      <c r="F81" s="62">
        <v>2</v>
      </c>
      <c r="G81" s="61" t="s">
        <v>742</v>
      </c>
      <c r="H81" s="62" t="s">
        <v>743</v>
      </c>
      <c r="I81" s="67">
        <v>6</v>
      </c>
      <c r="J81" s="61" t="s">
        <v>781</v>
      </c>
      <c r="K81" s="62">
        <v>3</v>
      </c>
      <c r="L81" s="61" t="s">
        <v>307</v>
      </c>
      <c r="M81" s="62">
        <v>1</v>
      </c>
      <c r="N81" s="67">
        <v>6</v>
      </c>
      <c r="O81" s="61" t="s">
        <v>307</v>
      </c>
      <c r="P81" s="62">
        <v>2</v>
      </c>
      <c r="Q81" s="61" t="s">
        <v>742</v>
      </c>
      <c r="R81" s="62" t="s">
        <v>743</v>
      </c>
      <c r="S81" s="67">
        <v>6</v>
      </c>
      <c r="T81" s="61" t="s">
        <v>753</v>
      </c>
      <c r="U81" s="62">
        <v>2</v>
      </c>
      <c r="V81" s="61" t="s">
        <v>766</v>
      </c>
      <c r="W81" s="62">
        <v>1</v>
      </c>
      <c r="Y81" s="47"/>
    </row>
    <row r="82" spans="1:25" x14ac:dyDescent="0.25">
      <c r="A82" s="48">
        <v>0</v>
      </c>
      <c r="B82" s="47" t="s">
        <v>845</v>
      </c>
      <c r="C82" s="47" t="s">
        <v>846</v>
      </c>
      <c r="D82" s="48">
        <v>7</v>
      </c>
      <c r="E82" s="5" t="s">
        <v>281</v>
      </c>
      <c r="F82" s="48" t="s">
        <v>64</v>
      </c>
      <c r="G82" s="60" t="s">
        <v>792</v>
      </c>
      <c r="H82" s="48" t="s">
        <v>64</v>
      </c>
      <c r="I82" s="48">
        <v>6</v>
      </c>
      <c r="J82" s="60" t="s">
        <v>279</v>
      </c>
      <c r="K82" s="48" t="s">
        <v>65</v>
      </c>
      <c r="L82" s="60" t="s">
        <v>297</v>
      </c>
      <c r="M82" s="48">
        <v>1</v>
      </c>
      <c r="N82" s="48">
        <v>3</v>
      </c>
      <c r="O82" s="5" t="s">
        <v>281</v>
      </c>
      <c r="P82" s="48" t="s">
        <v>67</v>
      </c>
      <c r="Q82" s="60" t="s">
        <v>742</v>
      </c>
      <c r="R82" s="48" t="s">
        <v>743</v>
      </c>
      <c r="S82" s="48">
        <v>6</v>
      </c>
      <c r="T82" s="60" t="s">
        <v>842</v>
      </c>
      <c r="U82" s="48" t="s">
        <v>64</v>
      </c>
      <c r="V82" s="60" t="s">
        <v>847</v>
      </c>
      <c r="W82" s="48">
        <v>1</v>
      </c>
      <c r="Y82" s="47"/>
    </row>
    <row r="83" spans="1:25" x14ac:dyDescent="0.25">
      <c r="A83" s="48">
        <v>0</v>
      </c>
      <c r="B83" s="59" t="s">
        <v>848</v>
      </c>
      <c r="C83" s="59" t="s">
        <v>849</v>
      </c>
      <c r="D83" s="67">
        <v>6</v>
      </c>
      <c r="E83" s="61" t="s">
        <v>850</v>
      </c>
      <c r="F83" s="62">
        <v>2</v>
      </c>
      <c r="G83" s="61" t="s">
        <v>742</v>
      </c>
      <c r="H83" s="62" t="s">
        <v>743</v>
      </c>
      <c r="I83" s="67">
        <v>6</v>
      </c>
      <c r="J83" s="61" t="s">
        <v>850</v>
      </c>
      <c r="K83" s="62">
        <v>1</v>
      </c>
      <c r="L83" s="61" t="s">
        <v>319</v>
      </c>
      <c r="M83" s="62">
        <v>1</v>
      </c>
      <c r="N83" s="67">
        <v>7</v>
      </c>
      <c r="O83" s="61" t="s">
        <v>321</v>
      </c>
      <c r="P83" s="62">
        <v>2</v>
      </c>
      <c r="Q83" s="61" t="s">
        <v>742</v>
      </c>
      <c r="R83" s="62" t="s">
        <v>743</v>
      </c>
      <c r="S83" s="67">
        <v>6</v>
      </c>
      <c r="T83" s="61" t="s">
        <v>319</v>
      </c>
      <c r="U83" s="62" t="s">
        <v>65</v>
      </c>
      <c r="V83" s="61" t="s">
        <v>742</v>
      </c>
      <c r="W83" s="62" t="s">
        <v>743</v>
      </c>
      <c r="Y83" s="47"/>
    </row>
    <row r="84" spans="1:25" x14ac:dyDescent="0.25">
      <c r="A84" s="48">
        <v>0</v>
      </c>
      <c r="B84" s="47" t="s">
        <v>851</v>
      </c>
      <c r="C84" s="47" t="s">
        <v>852</v>
      </c>
      <c r="D84" s="48">
        <v>7</v>
      </c>
      <c r="E84" s="60" t="s">
        <v>853</v>
      </c>
      <c r="F84" s="48">
        <v>2</v>
      </c>
      <c r="G84" s="60" t="s">
        <v>742</v>
      </c>
      <c r="H84" s="48" t="s">
        <v>743</v>
      </c>
      <c r="I84" s="48">
        <v>7</v>
      </c>
      <c r="J84" s="60" t="s">
        <v>295</v>
      </c>
      <c r="K84" s="48" t="s">
        <v>65</v>
      </c>
      <c r="L84" s="65" t="s">
        <v>742</v>
      </c>
      <c r="M84" s="64" t="s">
        <v>743</v>
      </c>
      <c r="N84" s="48">
        <v>6</v>
      </c>
      <c r="O84" s="60" t="s">
        <v>854</v>
      </c>
      <c r="P84" s="48" t="s">
        <v>65</v>
      </c>
      <c r="Q84" s="60" t="s">
        <v>742</v>
      </c>
      <c r="R84" s="48" t="s">
        <v>743</v>
      </c>
      <c r="S84" s="48">
        <v>6</v>
      </c>
      <c r="T84" s="60" t="s">
        <v>309</v>
      </c>
      <c r="U84" s="48">
        <v>2</v>
      </c>
      <c r="V84" s="60" t="s">
        <v>742</v>
      </c>
      <c r="W84" s="48" t="s">
        <v>743</v>
      </c>
      <c r="Y84" s="47"/>
    </row>
    <row r="85" spans="1:25" x14ac:dyDescent="0.25">
      <c r="A85" s="48">
        <v>0</v>
      </c>
      <c r="B85" s="59" t="s">
        <v>855</v>
      </c>
      <c r="C85" s="59" t="s">
        <v>856</v>
      </c>
      <c r="D85" s="67">
        <v>7</v>
      </c>
      <c r="E85" s="61" t="s">
        <v>285</v>
      </c>
      <c r="F85" s="62">
        <v>2</v>
      </c>
      <c r="G85" s="61" t="s">
        <v>742</v>
      </c>
      <c r="H85" s="62" t="s">
        <v>743</v>
      </c>
      <c r="I85" s="67">
        <v>6</v>
      </c>
      <c r="J85" s="61" t="s">
        <v>857</v>
      </c>
      <c r="K85" s="62" t="s">
        <v>65</v>
      </c>
      <c r="L85" s="61" t="s">
        <v>742</v>
      </c>
      <c r="M85" s="62" t="s">
        <v>743</v>
      </c>
      <c r="N85" s="67">
        <v>6</v>
      </c>
      <c r="O85" s="62" t="s">
        <v>279</v>
      </c>
      <c r="P85" s="62" t="s">
        <v>66</v>
      </c>
      <c r="Q85" s="61" t="s">
        <v>742</v>
      </c>
      <c r="R85" s="62" t="s">
        <v>743</v>
      </c>
      <c r="S85" s="67">
        <v>6</v>
      </c>
      <c r="T85" s="61" t="s">
        <v>305</v>
      </c>
      <c r="U85" s="62" t="s">
        <v>66</v>
      </c>
      <c r="V85" s="61" t="s">
        <v>742</v>
      </c>
      <c r="W85" s="62" t="s">
        <v>743</v>
      </c>
      <c r="Y85" s="47"/>
    </row>
    <row r="86" spans="1:25" x14ac:dyDescent="0.25">
      <c r="A86" s="48">
        <v>0</v>
      </c>
      <c r="B86" s="47" t="s">
        <v>858</v>
      </c>
      <c r="C86" s="47" t="s">
        <v>859</v>
      </c>
      <c r="D86" s="48">
        <v>6</v>
      </c>
      <c r="E86" s="60" t="s">
        <v>289</v>
      </c>
      <c r="F86" s="48">
        <v>2</v>
      </c>
      <c r="G86" s="60" t="s">
        <v>742</v>
      </c>
      <c r="H86" s="48" t="s">
        <v>743</v>
      </c>
      <c r="I86" s="48">
        <v>3</v>
      </c>
      <c r="J86" s="60" t="s">
        <v>761</v>
      </c>
      <c r="K86" s="48">
        <v>2</v>
      </c>
      <c r="L86" s="60" t="s">
        <v>841</v>
      </c>
      <c r="M86" s="48" t="s">
        <v>65</v>
      </c>
      <c r="N86" s="48">
        <v>6</v>
      </c>
      <c r="O86" s="60" t="s">
        <v>841</v>
      </c>
      <c r="P86" s="48" t="s">
        <v>64</v>
      </c>
      <c r="Q86" s="60" t="s">
        <v>289</v>
      </c>
      <c r="R86" s="48">
        <v>1</v>
      </c>
      <c r="S86" s="48">
        <v>7</v>
      </c>
      <c r="T86" s="60" t="s">
        <v>823</v>
      </c>
      <c r="U86" s="48" t="s">
        <v>65</v>
      </c>
      <c r="V86" s="60" t="s">
        <v>742</v>
      </c>
      <c r="W86" s="48" t="s">
        <v>743</v>
      </c>
      <c r="Y86" s="47"/>
    </row>
    <row r="87" spans="1:25" x14ac:dyDescent="0.25">
      <c r="A87" s="48">
        <v>0</v>
      </c>
      <c r="B87" s="59" t="s">
        <v>860</v>
      </c>
      <c r="C87" s="59" t="s">
        <v>861</v>
      </c>
      <c r="D87" s="67">
        <v>6</v>
      </c>
      <c r="E87" s="61" t="s">
        <v>862</v>
      </c>
      <c r="F87" s="62">
        <v>2</v>
      </c>
      <c r="G87" s="61" t="s">
        <v>742</v>
      </c>
      <c r="H87" s="62" t="s">
        <v>743</v>
      </c>
      <c r="I87" s="67">
        <v>6</v>
      </c>
      <c r="J87" s="61" t="s">
        <v>877</v>
      </c>
      <c r="K87" s="62">
        <v>1</v>
      </c>
      <c r="L87" s="61" t="s">
        <v>862</v>
      </c>
      <c r="M87" s="62">
        <v>1</v>
      </c>
      <c r="N87" s="67">
        <v>6</v>
      </c>
      <c r="O87" s="61" t="s">
        <v>863</v>
      </c>
      <c r="P87" s="62">
        <v>1</v>
      </c>
      <c r="Q87" s="61" t="s">
        <v>313</v>
      </c>
      <c r="R87" s="62">
        <v>1</v>
      </c>
      <c r="S87" s="67">
        <v>6</v>
      </c>
      <c r="T87" s="61" t="s">
        <v>313</v>
      </c>
      <c r="U87" s="62">
        <v>2</v>
      </c>
      <c r="V87" s="61" t="s">
        <v>742</v>
      </c>
      <c r="W87" s="62" t="s">
        <v>743</v>
      </c>
      <c r="Y87" s="47"/>
    </row>
    <row r="88" spans="1:25" x14ac:dyDescent="0.25">
      <c r="A88" s="48">
        <v>0</v>
      </c>
      <c r="B88" s="47" t="s">
        <v>864</v>
      </c>
      <c r="C88" s="47" t="s">
        <v>865</v>
      </c>
      <c r="D88" s="48">
        <v>6</v>
      </c>
      <c r="E88" s="60" t="s">
        <v>291</v>
      </c>
      <c r="F88" s="48">
        <v>2</v>
      </c>
      <c r="G88" s="60" t="s">
        <v>742</v>
      </c>
      <c r="H88" s="48" t="s">
        <v>743</v>
      </c>
      <c r="I88" s="48">
        <v>4</v>
      </c>
      <c r="J88" s="60" t="s">
        <v>291</v>
      </c>
      <c r="K88" s="48">
        <v>3</v>
      </c>
      <c r="L88" s="48" t="s">
        <v>762</v>
      </c>
      <c r="M88" s="48">
        <v>1</v>
      </c>
      <c r="N88" s="48">
        <v>6</v>
      </c>
      <c r="O88" s="60" t="s">
        <v>866</v>
      </c>
      <c r="P88" s="48">
        <v>2</v>
      </c>
      <c r="Q88" s="60" t="s">
        <v>742</v>
      </c>
      <c r="R88" s="48" t="s">
        <v>743</v>
      </c>
      <c r="S88" s="48">
        <v>5</v>
      </c>
      <c r="T88" s="60" t="s">
        <v>867</v>
      </c>
      <c r="U88" s="48">
        <v>2</v>
      </c>
      <c r="V88" s="48" t="s">
        <v>762</v>
      </c>
      <c r="W88" s="48" t="s">
        <v>65</v>
      </c>
      <c r="Y88" s="47"/>
    </row>
    <row r="89" spans="1:25" x14ac:dyDescent="0.25">
      <c r="A89" s="48">
        <v>0</v>
      </c>
      <c r="B89" s="59" t="s">
        <v>868</v>
      </c>
      <c r="C89" s="59" t="s">
        <v>869</v>
      </c>
      <c r="D89" s="67">
        <v>6</v>
      </c>
      <c r="E89" s="61" t="s">
        <v>870</v>
      </c>
      <c r="F89" s="62">
        <v>2</v>
      </c>
      <c r="G89" s="61" t="s">
        <v>742</v>
      </c>
      <c r="H89" s="62" t="s">
        <v>743</v>
      </c>
      <c r="I89" s="67">
        <v>6</v>
      </c>
      <c r="J89" s="61" t="s">
        <v>871</v>
      </c>
      <c r="K89" s="62" t="s">
        <v>65</v>
      </c>
      <c r="L89" s="61" t="s">
        <v>742</v>
      </c>
      <c r="M89" s="62" t="s">
        <v>743</v>
      </c>
      <c r="N89" s="67">
        <v>4</v>
      </c>
      <c r="O89" s="61" t="s">
        <v>870</v>
      </c>
      <c r="P89" s="62">
        <v>2</v>
      </c>
      <c r="Q89" s="61" t="s">
        <v>752</v>
      </c>
      <c r="R89" s="62">
        <v>2</v>
      </c>
      <c r="S89" s="67">
        <v>6</v>
      </c>
      <c r="T89" s="61" t="s">
        <v>863</v>
      </c>
      <c r="U89" s="62" t="s">
        <v>65</v>
      </c>
      <c r="V89" s="61" t="s">
        <v>742</v>
      </c>
      <c r="W89" s="62" t="s">
        <v>743</v>
      </c>
      <c r="Y89" s="47"/>
    </row>
    <row r="90" spans="1:25" x14ac:dyDescent="0.25">
      <c r="A90" s="48">
        <v>0</v>
      </c>
      <c r="B90" s="47" t="s">
        <v>872</v>
      </c>
      <c r="C90" s="47" t="s">
        <v>873</v>
      </c>
      <c r="D90" s="48">
        <v>6</v>
      </c>
      <c r="E90" s="60" t="s">
        <v>874</v>
      </c>
      <c r="F90" s="48">
        <v>2</v>
      </c>
      <c r="G90" s="60" t="s">
        <v>742</v>
      </c>
      <c r="H90" s="48" t="s">
        <v>743</v>
      </c>
      <c r="I90" s="48">
        <v>6</v>
      </c>
      <c r="J90" s="60" t="s">
        <v>874</v>
      </c>
      <c r="K90" s="48">
        <v>1</v>
      </c>
      <c r="L90" s="60" t="s">
        <v>307</v>
      </c>
      <c r="M90" s="48">
        <v>1</v>
      </c>
      <c r="N90" s="48">
        <v>6</v>
      </c>
      <c r="O90" s="60" t="s">
        <v>773</v>
      </c>
      <c r="P90" s="48">
        <v>1</v>
      </c>
      <c r="Q90" s="60" t="s">
        <v>307</v>
      </c>
      <c r="R90" s="48" t="s">
        <v>64</v>
      </c>
      <c r="S90" s="48">
        <v>7</v>
      </c>
      <c r="T90" s="5" t="s">
        <v>800</v>
      </c>
      <c r="U90" s="5" t="s">
        <v>65</v>
      </c>
      <c r="V90" s="60" t="s">
        <v>742</v>
      </c>
      <c r="W90" s="48" t="s">
        <v>743</v>
      </c>
      <c r="Y90" s="47"/>
    </row>
    <row r="91" spans="1:25" x14ac:dyDescent="0.25">
      <c r="A91" s="48">
        <v>0</v>
      </c>
      <c r="B91" s="59" t="s">
        <v>875</v>
      </c>
      <c r="C91" s="59" t="s">
        <v>876</v>
      </c>
      <c r="D91" s="67">
        <v>6</v>
      </c>
      <c r="E91" s="61" t="s">
        <v>877</v>
      </c>
      <c r="F91" s="62">
        <v>2</v>
      </c>
      <c r="G91" s="61" t="s">
        <v>742</v>
      </c>
      <c r="H91" s="62" t="s">
        <v>743</v>
      </c>
      <c r="I91" s="67">
        <v>4</v>
      </c>
      <c r="J91" s="61" t="s">
        <v>877</v>
      </c>
      <c r="K91" s="62" t="s">
        <v>66</v>
      </c>
      <c r="L91" s="61" t="s">
        <v>808</v>
      </c>
      <c r="M91" s="62" t="s">
        <v>64</v>
      </c>
      <c r="N91" s="67">
        <v>5</v>
      </c>
      <c r="O91" s="61" t="s">
        <v>744</v>
      </c>
      <c r="P91" s="62" t="s">
        <v>67</v>
      </c>
      <c r="Q91" s="61" t="s">
        <v>742</v>
      </c>
      <c r="R91" s="62" t="s">
        <v>743</v>
      </c>
      <c r="S91" s="67">
        <v>6</v>
      </c>
      <c r="T91" s="61" t="s">
        <v>281</v>
      </c>
      <c r="U91" s="62">
        <v>1</v>
      </c>
      <c r="V91" s="61" t="s">
        <v>773</v>
      </c>
      <c r="W91" s="62">
        <v>1</v>
      </c>
      <c r="Y91" s="47"/>
    </row>
    <row r="92" spans="1:25" x14ac:dyDescent="0.25">
      <c r="A92" s="48">
        <v>0</v>
      </c>
      <c r="B92" s="47" t="s">
        <v>878</v>
      </c>
      <c r="C92" s="47" t="s">
        <v>879</v>
      </c>
      <c r="D92" s="48">
        <v>6</v>
      </c>
      <c r="E92" s="60" t="s">
        <v>780</v>
      </c>
      <c r="F92" s="48">
        <v>2</v>
      </c>
      <c r="G92" s="60" t="s">
        <v>742</v>
      </c>
      <c r="H92" s="48" t="s">
        <v>743</v>
      </c>
      <c r="I92" s="48">
        <v>6</v>
      </c>
      <c r="J92" s="60" t="s">
        <v>293</v>
      </c>
      <c r="K92" s="48" t="s">
        <v>65</v>
      </c>
      <c r="L92" s="65" t="s">
        <v>742</v>
      </c>
      <c r="M92" s="64" t="s">
        <v>743</v>
      </c>
      <c r="N92" s="48">
        <v>6</v>
      </c>
      <c r="O92" s="60" t="s">
        <v>303</v>
      </c>
      <c r="P92" s="48" t="s">
        <v>65</v>
      </c>
      <c r="Q92" s="60" t="s">
        <v>880</v>
      </c>
      <c r="R92" s="48" t="s">
        <v>64</v>
      </c>
      <c r="S92" s="48">
        <v>7</v>
      </c>
      <c r="T92" s="60" t="s">
        <v>880</v>
      </c>
      <c r="U92" s="48" t="s">
        <v>65</v>
      </c>
      <c r="V92" s="58" t="s">
        <v>742</v>
      </c>
      <c r="W92" s="5" t="s">
        <v>743</v>
      </c>
      <c r="Y92" s="47"/>
    </row>
    <row r="93" spans="1:25" x14ac:dyDescent="0.25">
      <c r="A93" s="48">
        <v>0</v>
      </c>
      <c r="B93" s="59" t="s">
        <v>881</v>
      </c>
      <c r="C93" s="59" t="s">
        <v>882</v>
      </c>
      <c r="D93" s="67">
        <v>6</v>
      </c>
      <c r="E93" s="61" t="s">
        <v>883</v>
      </c>
      <c r="F93" s="62">
        <v>2</v>
      </c>
      <c r="G93" s="61" t="s">
        <v>742</v>
      </c>
      <c r="H93" s="62" t="s">
        <v>743</v>
      </c>
      <c r="I93" s="67">
        <v>7</v>
      </c>
      <c r="J93" s="61" t="s">
        <v>788</v>
      </c>
      <c r="K93" s="62" t="s">
        <v>65</v>
      </c>
      <c r="L93" s="61" t="s">
        <v>742</v>
      </c>
      <c r="M93" s="62" t="s">
        <v>743</v>
      </c>
      <c r="N93" s="67">
        <v>6</v>
      </c>
      <c r="O93" s="61" t="s">
        <v>883</v>
      </c>
      <c r="P93" s="62">
        <v>1</v>
      </c>
      <c r="Q93" s="61" t="s">
        <v>854</v>
      </c>
      <c r="R93" s="62">
        <v>1</v>
      </c>
      <c r="S93" s="67">
        <v>6</v>
      </c>
      <c r="T93" s="61" t="s">
        <v>277</v>
      </c>
      <c r="U93" s="62" t="s">
        <v>66</v>
      </c>
      <c r="V93" s="61" t="s">
        <v>742</v>
      </c>
      <c r="W93" s="62" t="s">
        <v>743</v>
      </c>
      <c r="Y93" s="47"/>
    </row>
    <row r="94" spans="1:25" x14ac:dyDescent="0.25">
      <c r="A94" s="48" t="s">
        <v>575</v>
      </c>
      <c r="B94" s="47" t="s">
        <v>884</v>
      </c>
      <c r="C94" s="47" t="s">
        <v>885</v>
      </c>
      <c r="D94" s="48">
        <v>6</v>
      </c>
      <c r="E94" s="58" t="s">
        <v>796</v>
      </c>
      <c r="F94" s="48">
        <v>2</v>
      </c>
      <c r="G94" s="60" t="s">
        <v>742</v>
      </c>
      <c r="H94" s="48" t="s">
        <v>743</v>
      </c>
      <c r="I94" s="48">
        <v>6</v>
      </c>
      <c r="J94" s="60" t="s">
        <v>796</v>
      </c>
      <c r="K94" s="48" t="s">
        <v>65</v>
      </c>
      <c r="L94" s="60" t="s">
        <v>742</v>
      </c>
      <c r="M94" s="48" t="s">
        <v>743</v>
      </c>
      <c r="N94" s="48">
        <v>7</v>
      </c>
      <c r="O94" s="60" t="s">
        <v>789</v>
      </c>
      <c r="P94" s="48" t="s">
        <v>65</v>
      </c>
      <c r="Q94" s="60" t="s">
        <v>742</v>
      </c>
      <c r="R94" s="48" t="s">
        <v>743</v>
      </c>
      <c r="S94" s="48">
        <v>3</v>
      </c>
      <c r="T94" s="58" t="s">
        <v>795</v>
      </c>
      <c r="U94" s="48">
        <v>3</v>
      </c>
      <c r="V94" s="58" t="s">
        <v>796</v>
      </c>
      <c r="W94" s="48" t="s">
        <v>64</v>
      </c>
    </row>
    <row r="95" spans="1:25" x14ac:dyDescent="0.25">
      <c r="A95" s="48"/>
      <c r="B95" s="47"/>
      <c r="D95" s="48"/>
      <c r="E95" s="58"/>
      <c r="F95" s="48"/>
      <c r="G95" s="60"/>
      <c r="H95" s="48"/>
      <c r="I95" s="48"/>
      <c r="J95" s="58"/>
      <c r="L95" s="60"/>
      <c r="M95" s="48"/>
      <c r="N95" s="48"/>
      <c r="O95" s="4"/>
      <c r="P95" s="4"/>
      <c r="Q95" s="4"/>
      <c r="R95" s="4"/>
      <c r="S95" s="48"/>
      <c r="T95" s="58"/>
      <c r="U95" s="48"/>
      <c r="V95" s="60"/>
      <c r="W95" s="48"/>
    </row>
    <row r="96" spans="1:25" x14ac:dyDescent="0.25">
      <c r="A96" s="48" t="s">
        <v>895</v>
      </c>
      <c r="B96" s="47" t="s">
        <v>888</v>
      </c>
      <c r="C96" s="47" t="s">
        <v>889</v>
      </c>
      <c r="D96" s="48" t="s">
        <v>68</v>
      </c>
      <c r="E96" s="60" t="s">
        <v>742</v>
      </c>
      <c r="F96" s="48" t="s">
        <v>743</v>
      </c>
      <c r="G96" s="60" t="s">
        <v>742</v>
      </c>
      <c r="H96" s="48" t="s">
        <v>743</v>
      </c>
      <c r="I96" s="48" t="s">
        <v>68</v>
      </c>
      <c r="J96" s="60" t="s">
        <v>742</v>
      </c>
      <c r="K96" s="48" t="s">
        <v>743</v>
      </c>
      <c r="L96" s="60" t="s">
        <v>742</v>
      </c>
      <c r="M96" s="48" t="s">
        <v>743</v>
      </c>
      <c r="N96" s="48" t="s">
        <v>68</v>
      </c>
      <c r="O96" s="60" t="s">
        <v>742</v>
      </c>
      <c r="P96" s="48" t="s">
        <v>743</v>
      </c>
      <c r="Q96" s="60" t="s">
        <v>742</v>
      </c>
      <c r="R96" s="48" t="s">
        <v>743</v>
      </c>
      <c r="S96" s="48" t="s">
        <v>68</v>
      </c>
      <c r="T96" s="60" t="s">
        <v>742</v>
      </c>
      <c r="U96" s="48" t="s">
        <v>743</v>
      </c>
      <c r="V96" s="60" t="s">
        <v>742</v>
      </c>
      <c r="W96" s="48" t="s">
        <v>743</v>
      </c>
      <c r="X96" s="57" t="s">
        <v>890</v>
      </c>
      <c r="Y96" s="48" t="s">
        <v>891</v>
      </c>
    </row>
    <row r="97" spans="1:25" x14ac:dyDescent="0.25">
      <c r="A97" s="47"/>
      <c r="J97" s="4"/>
      <c r="K97" s="4"/>
    </row>
    <row r="98" spans="1:25" x14ac:dyDescent="0.25">
      <c r="A98" s="47"/>
      <c r="J98" s="4"/>
      <c r="K98" s="4"/>
    </row>
    <row r="99" spans="1:25" x14ac:dyDescent="0.25">
      <c r="A99" s="156" t="s">
        <v>896</v>
      </c>
      <c r="B99" s="156"/>
      <c r="C99" s="156"/>
      <c r="D99" s="156"/>
      <c r="E99" s="156"/>
      <c r="F99" s="156"/>
      <c r="G99" s="156"/>
      <c r="H99" s="156"/>
      <c r="I99" s="156"/>
      <c r="J99" s="156"/>
      <c r="K99" s="156"/>
      <c r="L99" s="156"/>
      <c r="M99" s="156"/>
      <c r="N99" s="156"/>
      <c r="O99" s="156"/>
      <c r="P99" s="156"/>
      <c r="Q99" s="156"/>
      <c r="R99" s="156"/>
      <c r="S99" s="156"/>
      <c r="T99" s="156"/>
      <c r="U99" s="156"/>
      <c r="V99" s="156"/>
      <c r="W99" s="156"/>
      <c r="X99" s="156"/>
      <c r="Y99" s="156"/>
    </row>
    <row r="100" spans="1:25" x14ac:dyDescent="0.25">
      <c r="A100" s="156"/>
      <c r="B100" s="156"/>
      <c r="C100" s="156"/>
      <c r="D100" s="156"/>
      <c r="E100" s="156"/>
      <c r="F100" s="156"/>
      <c r="G100" s="156"/>
      <c r="H100" s="156"/>
      <c r="I100" s="156"/>
      <c r="J100" s="156"/>
      <c r="K100" s="156"/>
      <c r="L100" s="156"/>
      <c r="M100" s="156"/>
      <c r="N100" s="156"/>
      <c r="O100" s="156"/>
      <c r="P100" s="156"/>
      <c r="Q100" s="156"/>
      <c r="R100" s="156"/>
      <c r="S100" s="156"/>
      <c r="T100" s="156"/>
      <c r="U100" s="156"/>
      <c r="V100" s="156"/>
      <c r="W100" s="156"/>
      <c r="X100" s="156"/>
      <c r="Y100" s="156"/>
    </row>
    <row r="101" spans="1:25" x14ac:dyDescent="0.25">
      <c r="A101" s="47"/>
      <c r="B101" s="153" t="s">
        <v>897</v>
      </c>
      <c r="C101" s="153"/>
      <c r="I101" s="4"/>
      <c r="J101" s="4"/>
      <c r="K101" s="4"/>
      <c r="L101" s="4"/>
      <c r="M101" s="4"/>
    </row>
    <row r="102" spans="1:25" x14ac:dyDescent="0.25">
      <c r="A102" s="48" t="s">
        <v>893</v>
      </c>
      <c r="B102" s="68" t="s">
        <v>898</v>
      </c>
      <c r="C102" s="68" t="s">
        <v>730</v>
      </c>
      <c r="D102" s="67" t="s">
        <v>731</v>
      </c>
      <c r="E102" s="56" t="s">
        <v>732</v>
      </c>
      <c r="F102" s="56" t="s">
        <v>733</v>
      </c>
      <c r="G102" s="56" t="s">
        <v>732</v>
      </c>
      <c r="H102" s="56" t="s">
        <v>733</v>
      </c>
      <c r="I102" s="67" t="s">
        <v>731</v>
      </c>
      <c r="J102" s="56" t="s">
        <v>734</v>
      </c>
      <c r="K102" s="56" t="s">
        <v>733</v>
      </c>
      <c r="L102" s="56" t="s">
        <v>734</v>
      </c>
      <c r="M102" s="56" t="s">
        <v>733</v>
      </c>
      <c r="N102" s="67" t="s">
        <v>731</v>
      </c>
      <c r="O102" s="56" t="s">
        <v>735</v>
      </c>
      <c r="P102" s="56" t="s">
        <v>733</v>
      </c>
      <c r="Q102" s="56" t="s">
        <v>735</v>
      </c>
      <c r="R102" s="56" t="s">
        <v>733</v>
      </c>
      <c r="S102" s="67" t="s">
        <v>731</v>
      </c>
      <c r="T102" s="56" t="s">
        <v>736</v>
      </c>
      <c r="U102" s="56" t="s">
        <v>733</v>
      </c>
      <c r="V102" s="56" t="s">
        <v>736</v>
      </c>
      <c r="W102" s="56" t="s">
        <v>733</v>
      </c>
      <c r="Y102" s="57" t="s">
        <v>737</v>
      </c>
    </row>
    <row r="103" spans="1:25" x14ac:dyDescent="0.25">
      <c r="A103" s="47"/>
      <c r="C103" s="4"/>
      <c r="J103" s="4"/>
      <c r="K103" s="4"/>
      <c r="L103" s="4"/>
      <c r="M103" s="4"/>
      <c r="N103" s="4"/>
      <c r="O103" s="4"/>
      <c r="P103" s="4"/>
      <c r="Q103" s="4"/>
      <c r="R103" s="4"/>
      <c r="T103" s="4"/>
      <c r="U103" s="4"/>
      <c r="V103" s="4"/>
      <c r="W103" s="4"/>
    </row>
    <row r="104" spans="1:25" x14ac:dyDescent="0.25">
      <c r="A104" s="48" t="s">
        <v>575</v>
      </c>
      <c r="B104" s="59" t="s">
        <v>754</v>
      </c>
      <c r="C104" s="59" t="s">
        <v>755</v>
      </c>
      <c r="D104" s="67">
        <v>7</v>
      </c>
      <c r="E104" s="61" t="s">
        <v>756</v>
      </c>
      <c r="F104" s="62" t="s">
        <v>66</v>
      </c>
      <c r="G104" s="61" t="s">
        <v>746</v>
      </c>
      <c r="H104" s="62">
        <v>1</v>
      </c>
      <c r="I104" s="67">
        <v>7</v>
      </c>
      <c r="J104" s="61" t="s">
        <v>321</v>
      </c>
      <c r="K104" s="62" t="s">
        <v>65</v>
      </c>
      <c r="L104" s="61" t="s">
        <v>756</v>
      </c>
      <c r="M104" s="62" t="s">
        <v>64</v>
      </c>
      <c r="N104" s="67">
        <v>7</v>
      </c>
      <c r="O104" s="61" t="s">
        <v>746</v>
      </c>
      <c r="P104" s="62">
        <v>2</v>
      </c>
      <c r="Q104" s="61" t="s">
        <v>781</v>
      </c>
      <c r="R104" s="62" t="s">
        <v>64</v>
      </c>
      <c r="S104" s="67">
        <v>7</v>
      </c>
      <c r="T104" s="61" t="s">
        <v>757</v>
      </c>
      <c r="U104" s="62">
        <v>3</v>
      </c>
      <c r="V104" s="61" t="s">
        <v>746</v>
      </c>
      <c r="W104" s="62" t="s">
        <v>64</v>
      </c>
      <c r="Y104" s="60"/>
    </row>
    <row r="105" spans="1:25" x14ac:dyDescent="0.25">
      <c r="A105" s="48" t="s">
        <v>575</v>
      </c>
      <c r="B105" s="47" t="s">
        <v>758</v>
      </c>
      <c r="C105" s="47" t="s">
        <v>759</v>
      </c>
      <c r="D105" s="48">
        <v>7</v>
      </c>
      <c r="E105" s="60" t="s">
        <v>760</v>
      </c>
      <c r="F105" s="48" t="s">
        <v>66</v>
      </c>
      <c r="G105" s="60" t="s">
        <v>836</v>
      </c>
      <c r="H105" s="48">
        <v>1</v>
      </c>
      <c r="I105" s="48">
        <v>7</v>
      </c>
      <c r="J105" s="48" t="s">
        <v>762</v>
      </c>
      <c r="K105" s="48" t="s">
        <v>65</v>
      </c>
      <c r="L105" s="58" t="s">
        <v>819</v>
      </c>
      <c r="M105" s="5">
        <v>1</v>
      </c>
      <c r="N105" s="48">
        <v>6</v>
      </c>
      <c r="O105" s="58" t="s">
        <v>761</v>
      </c>
      <c r="P105" s="5" t="s">
        <v>66</v>
      </c>
      <c r="Q105" s="60" t="s">
        <v>792</v>
      </c>
      <c r="R105" s="48" t="s">
        <v>64</v>
      </c>
      <c r="S105" s="48">
        <v>7</v>
      </c>
      <c r="T105" s="5" t="s">
        <v>800</v>
      </c>
      <c r="U105" s="5" t="s">
        <v>65</v>
      </c>
      <c r="V105" s="60" t="s">
        <v>762</v>
      </c>
      <c r="W105" s="48" t="s">
        <v>64</v>
      </c>
      <c r="Y105" s="60"/>
    </row>
    <row r="106" spans="1:25" x14ac:dyDescent="0.25">
      <c r="A106" s="48">
        <v>0</v>
      </c>
      <c r="B106" s="59" t="s">
        <v>763</v>
      </c>
      <c r="C106" s="59" t="s">
        <v>764</v>
      </c>
      <c r="D106" s="67">
        <v>7</v>
      </c>
      <c r="E106" s="61" t="s">
        <v>765</v>
      </c>
      <c r="F106" s="62" t="s">
        <v>65</v>
      </c>
      <c r="G106" s="61" t="s">
        <v>742</v>
      </c>
      <c r="H106" s="62" t="s">
        <v>743</v>
      </c>
      <c r="I106" s="67">
        <v>7</v>
      </c>
      <c r="J106" s="61" t="s">
        <v>766</v>
      </c>
      <c r="K106" s="62">
        <v>1</v>
      </c>
      <c r="L106" s="61" t="s">
        <v>753</v>
      </c>
      <c r="M106" s="62" t="s">
        <v>64</v>
      </c>
      <c r="N106" s="67">
        <v>6</v>
      </c>
      <c r="O106" s="61" t="s">
        <v>311</v>
      </c>
      <c r="P106" s="62" t="s">
        <v>65</v>
      </c>
      <c r="Q106" s="61" t="s">
        <v>767</v>
      </c>
      <c r="R106" s="62" t="s">
        <v>65</v>
      </c>
      <c r="S106" s="67">
        <v>7</v>
      </c>
      <c r="T106" s="61" t="s">
        <v>765</v>
      </c>
      <c r="U106" s="62">
        <v>1</v>
      </c>
      <c r="V106" s="61" t="s">
        <v>767</v>
      </c>
      <c r="W106" s="62">
        <v>1</v>
      </c>
      <c r="Y106" s="60"/>
    </row>
    <row r="107" spans="1:25" x14ac:dyDescent="0.25">
      <c r="A107" s="48">
        <v>0</v>
      </c>
      <c r="B107" s="47" t="s">
        <v>768</v>
      </c>
      <c r="C107" s="47" t="s">
        <v>769</v>
      </c>
      <c r="D107" s="48">
        <v>7</v>
      </c>
      <c r="E107" s="60" t="s">
        <v>767</v>
      </c>
      <c r="F107" s="48">
        <v>2</v>
      </c>
      <c r="G107" s="60" t="s">
        <v>742</v>
      </c>
      <c r="H107" s="48" t="s">
        <v>743</v>
      </c>
      <c r="I107" s="48">
        <v>7</v>
      </c>
      <c r="J107" s="58" t="s">
        <v>770</v>
      </c>
      <c r="K107" s="48" t="s">
        <v>65</v>
      </c>
      <c r="L107" s="60" t="s">
        <v>744</v>
      </c>
      <c r="M107" s="48" t="s">
        <v>64</v>
      </c>
      <c r="N107" s="48">
        <v>6</v>
      </c>
      <c r="O107" s="60" t="s">
        <v>744</v>
      </c>
      <c r="P107" s="48" t="s">
        <v>66</v>
      </c>
      <c r="Q107" s="60" t="s">
        <v>767</v>
      </c>
      <c r="R107" s="48" t="s">
        <v>65</v>
      </c>
      <c r="S107" s="48">
        <v>7</v>
      </c>
      <c r="T107" s="60" t="s">
        <v>832</v>
      </c>
      <c r="U107" s="48" t="s">
        <v>64</v>
      </c>
      <c r="V107" s="58" t="s">
        <v>745</v>
      </c>
      <c r="W107" s="48">
        <v>1</v>
      </c>
      <c r="Y107" s="60"/>
    </row>
    <row r="108" spans="1:25" x14ac:dyDescent="0.25">
      <c r="A108" s="48" t="s">
        <v>575</v>
      </c>
      <c r="B108" s="59" t="s">
        <v>771</v>
      </c>
      <c r="C108" s="59" t="s">
        <v>772</v>
      </c>
      <c r="D108" s="67">
        <v>7</v>
      </c>
      <c r="E108" s="61" t="s">
        <v>749</v>
      </c>
      <c r="F108" s="62" t="s">
        <v>65</v>
      </c>
      <c r="G108" s="61" t="s">
        <v>741</v>
      </c>
      <c r="H108" s="62" t="s">
        <v>64</v>
      </c>
      <c r="I108" s="67">
        <v>5</v>
      </c>
      <c r="J108" s="61" t="s">
        <v>773</v>
      </c>
      <c r="K108" s="62" t="s">
        <v>66</v>
      </c>
      <c r="L108" s="61" t="s">
        <v>287</v>
      </c>
      <c r="M108" s="62" t="s">
        <v>65</v>
      </c>
      <c r="N108" s="67">
        <v>6</v>
      </c>
      <c r="O108" s="61" t="s">
        <v>779</v>
      </c>
      <c r="P108" s="62">
        <v>2</v>
      </c>
      <c r="Q108" s="61" t="s">
        <v>749</v>
      </c>
      <c r="R108" s="62" t="s">
        <v>65</v>
      </c>
      <c r="S108" s="67">
        <v>7</v>
      </c>
      <c r="T108" s="61" t="s">
        <v>779</v>
      </c>
      <c r="U108" s="62" t="s">
        <v>64</v>
      </c>
      <c r="V108" s="61" t="s">
        <v>775</v>
      </c>
      <c r="W108" s="62">
        <v>1</v>
      </c>
      <c r="X108" s="57" t="s">
        <v>899</v>
      </c>
      <c r="Y108" s="60" t="s">
        <v>900</v>
      </c>
    </row>
    <row r="109" spans="1:25" x14ac:dyDescent="0.25">
      <c r="A109" s="48" t="s">
        <v>64</v>
      </c>
      <c r="B109" s="47" t="s">
        <v>776</v>
      </c>
      <c r="C109" s="47" t="s">
        <v>777</v>
      </c>
      <c r="D109" s="48">
        <v>7</v>
      </c>
      <c r="E109" s="60" t="s">
        <v>778</v>
      </c>
      <c r="F109" s="48" t="s">
        <v>65</v>
      </c>
      <c r="G109" s="58" t="s">
        <v>786</v>
      </c>
      <c r="H109" s="5" t="s">
        <v>64</v>
      </c>
      <c r="I109" s="48">
        <v>6</v>
      </c>
      <c r="J109" s="60" t="s">
        <v>289</v>
      </c>
      <c r="K109" s="48" t="s">
        <v>65</v>
      </c>
      <c r="L109" s="60" t="s">
        <v>779</v>
      </c>
      <c r="M109" s="48">
        <v>1</v>
      </c>
      <c r="N109" s="48">
        <v>6</v>
      </c>
      <c r="O109" s="60" t="s">
        <v>780</v>
      </c>
      <c r="P109" s="48" t="s">
        <v>65</v>
      </c>
      <c r="Q109" s="60" t="s">
        <v>778</v>
      </c>
      <c r="R109" s="48" t="s">
        <v>65</v>
      </c>
      <c r="S109" s="48">
        <v>7</v>
      </c>
      <c r="T109" s="60" t="s">
        <v>778</v>
      </c>
      <c r="U109" s="48" t="s">
        <v>66</v>
      </c>
      <c r="V109" s="60" t="s">
        <v>742</v>
      </c>
      <c r="W109" s="48" t="s">
        <v>743</v>
      </c>
      <c r="X109" s="57" t="s">
        <v>899</v>
      </c>
      <c r="Y109" s="60" t="s">
        <v>901</v>
      </c>
    </row>
    <row r="110" spans="1:25" x14ac:dyDescent="0.25">
      <c r="A110" s="48" t="s">
        <v>575</v>
      </c>
      <c r="B110" s="59" t="s">
        <v>783</v>
      </c>
      <c r="C110" s="59" t="s">
        <v>784</v>
      </c>
      <c r="D110" s="67">
        <v>7</v>
      </c>
      <c r="E110" s="61" t="s">
        <v>785</v>
      </c>
      <c r="F110" s="62" t="s">
        <v>65</v>
      </c>
      <c r="G110" s="61" t="s">
        <v>742</v>
      </c>
      <c r="H110" s="62" t="s">
        <v>743</v>
      </c>
      <c r="I110" s="67">
        <v>7</v>
      </c>
      <c r="J110" s="61" t="s">
        <v>789</v>
      </c>
      <c r="K110" s="62" t="s">
        <v>65</v>
      </c>
      <c r="L110" s="61" t="s">
        <v>787</v>
      </c>
      <c r="M110" s="62">
        <v>1</v>
      </c>
      <c r="N110" s="67">
        <v>7</v>
      </c>
      <c r="O110" s="61" t="s">
        <v>806</v>
      </c>
      <c r="P110" s="62" t="s">
        <v>64</v>
      </c>
      <c r="Q110" s="61" t="s">
        <v>788</v>
      </c>
      <c r="R110" s="62" t="s">
        <v>64</v>
      </c>
      <c r="S110" s="67">
        <v>6</v>
      </c>
      <c r="T110" s="61" t="s">
        <v>789</v>
      </c>
      <c r="U110" s="62" t="s">
        <v>66</v>
      </c>
      <c r="V110" s="61" t="s">
        <v>788</v>
      </c>
      <c r="W110" s="62">
        <v>2</v>
      </c>
      <c r="X110" s="57" t="s">
        <v>899</v>
      </c>
      <c r="Y110" s="60" t="s">
        <v>902</v>
      </c>
    </row>
    <row r="111" spans="1:25" x14ac:dyDescent="0.25">
      <c r="A111" s="48" t="s">
        <v>575</v>
      </c>
      <c r="B111" s="47" t="s">
        <v>790</v>
      </c>
      <c r="C111" s="47" t="s">
        <v>791</v>
      </c>
      <c r="D111" s="48">
        <v>7</v>
      </c>
      <c r="E111" s="60" t="s">
        <v>305</v>
      </c>
      <c r="F111" s="48" t="s">
        <v>65</v>
      </c>
      <c r="G111" s="58" t="s">
        <v>297</v>
      </c>
      <c r="H111" s="5" t="s">
        <v>64</v>
      </c>
      <c r="I111" s="48">
        <v>6</v>
      </c>
      <c r="J111" s="60" t="s">
        <v>767</v>
      </c>
      <c r="K111" s="48" t="s">
        <v>66</v>
      </c>
      <c r="L111" s="60" t="s">
        <v>305</v>
      </c>
      <c r="M111" s="48" t="s">
        <v>65</v>
      </c>
      <c r="N111" s="48">
        <v>6</v>
      </c>
      <c r="O111" s="60" t="s">
        <v>773</v>
      </c>
      <c r="P111" s="48" t="s">
        <v>66</v>
      </c>
      <c r="Q111" s="60" t="s">
        <v>742</v>
      </c>
      <c r="R111" s="48" t="s">
        <v>743</v>
      </c>
      <c r="S111" s="48">
        <v>7</v>
      </c>
      <c r="T111" s="60" t="s">
        <v>305</v>
      </c>
      <c r="U111" s="48">
        <v>2</v>
      </c>
      <c r="V111" s="60" t="s">
        <v>792</v>
      </c>
      <c r="W111" s="48" t="s">
        <v>64</v>
      </c>
      <c r="X111" s="57" t="s">
        <v>899</v>
      </c>
      <c r="Y111" s="60" t="s">
        <v>903</v>
      </c>
    </row>
    <row r="112" spans="1:25" x14ac:dyDescent="0.25">
      <c r="A112" s="48" t="s">
        <v>575</v>
      </c>
      <c r="B112" s="59" t="s">
        <v>793</v>
      </c>
      <c r="C112" s="59" t="s">
        <v>794</v>
      </c>
      <c r="D112" s="67">
        <v>7</v>
      </c>
      <c r="E112" s="61" t="s">
        <v>795</v>
      </c>
      <c r="F112" s="62" t="s">
        <v>65</v>
      </c>
      <c r="G112" s="61" t="s">
        <v>742</v>
      </c>
      <c r="H112" s="62" t="s">
        <v>743</v>
      </c>
      <c r="I112" s="67">
        <v>6</v>
      </c>
      <c r="J112" s="61" t="s">
        <v>796</v>
      </c>
      <c r="K112" s="62" t="s">
        <v>66</v>
      </c>
      <c r="L112" s="61" t="s">
        <v>751</v>
      </c>
      <c r="M112" s="62">
        <v>1</v>
      </c>
      <c r="N112" s="67">
        <v>6</v>
      </c>
      <c r="O112" s="61" t="s">
        <v>795</v>
      </c>
      <c r="P112" s="62" t="s">
        <v>66</v>
      </c>
      <c r="Q112" s="61" t="s">
        <v>742</v>
      </c>
      <c r="R112" s="62" t="s">
        <v>743</v>
      </c>
      <c r="S112" s="67">
        <v>6</v>
      </c>
      <c r="T112" s="61" t="s">
        <v>795</v>
      </c>
      <c r="U112" s="62" t="s">
        <v>65</v>
      </c>
      <c r="V112" s="61" t="s">
        <v>797</v>
      </c>
      <c r="W112" s="62" t="s">
        <v>65</v>
      </c>
      <c r="X112" s="57" t="s">
        <v>899</v>
      </c>
      <c r="Y112" s="60" t="s">
        <v>904</v>
      </c>
    </row>
    <row r="113" spans="1:25" x14ac:dyDescent="0.25">
      <c r="A113" s="48">
        <v>0</v>
      </c>
      <c r="B113" s="63" t="s">
        <v>798</v>
      </c>
      <c r="C113" s="63" t="s">
        <v>799</v>
      </c>
      <c r="D113" s="64">
        <v>7</v>
      </c>
      <c r="E113" s="65" t="s">
        <v>317</v>
      </c>
      <c r="F113" s="64" t="s">
        <v>65</v>
      </c>
      <c r="G113" s="65" t="s">
        <v>742</v>
      </c>
      <c r="H113" s="64" t="s">
        <v>743</v>
      </c>
      <c r="I113" s="64">
        <v>7</v>
      </c>
      <c r="J113" s="65" t="s">
        <v>800</v>
      </c>
      <c r="K113" s="64" t="s">
        <v>65</v>
      </c>
      <c r="L113" s="65" t="s">
        <v>746</v>
      </c>
      <c r="M113" s="64" t="s">
        <v>64</v>
      </c>
      <c r="N113" s="64">
        <v>7</v>
      </c>
      <c r="O113" s="65" t="s">
        <v>819</v>
      </c>
      <c r="P113" s="64" t="s">
        <v>64</v>
      </c>
      <c r="Q113" s="65" t="s">
        <v>800</v>
      </c>
      <c r="R113" s="64" t="s">
        <v>64</v>
      </c>
      <c r="S113" s="64">
        <v>6</v>
      </c>
      <c r="T113" s="65" t="s">
        <v>746</v>
      </c>
      <c r="U113" s="64" t="s">
        <v>66</v>
      </c>
      <c r="V113" s="65" t="s">
        <v>317</v>
      </c>
      <c r="W113" s="64" t="s">
        <v>65</v>
      </c>
      <c r="X113" s="57" t="s">
        <v>899</v>
      </c>
      <c r="Y113" s="60" t="s">
        <v>905</v>
      </c>
    </row>
    <row r="114" spans="1:25" x14ac:dyDescent="0.25">
      <c r="A114" s="48">
        <v>0</v>
      </c>
      <c r="B114" s="59" t="s">
        <v>801</v>
      </c>
      <c r="C114" s="59" t="s">
        <v>802</v>
      </c>
      <c r="D114" s="67">
        <v>8</v>
      </c>
      <c r="E114" s="61" t="s">
        <v>742</v>
      </c>
      <c r="F114" s="62" t="s">
        <v>743</v>
      </c>
      <c r="G114" s="61" t="s">
        <v>742</v>
      </c>
      <c r="H114" s="62" t="s">
        <v>743</v>
      </c>
      <c r="I114" s="67">
        <v>8</v>
      </c>
      <c r="J114" s="61" t="s">
        <v>742</v>
      </c>
      <c r="K114" s="62" t="s">
        <v>743</v>
      </c>
      <c r="L114" s="61" t="s">
        <v>742</v>
      </c>
      <c r="M114" s="62" t="s">
        <v>743</v>
      </c>
      <c r="N114" s="67">
        <v>8</v>
      </c>
      <c r="O114" s="61" t="s">
        <v>742</v>
      </c>
      <c r="P114" s="62" t="s">
        <v>743</v>
      </c>
      <c r="Q114" s="61" t="s">
        <v>742</v>
      </c>
      <c r="R114" s="62" t="s">
        <v>743</v>
      </c>
      <c r="S114" s="67">
        <v>8</v>
      </c>
      <c r="T114" s="61" t="s">
        <v>742</v>
      </c>
      <c r="U114" s="62" t="s">
        <v>743</v>
      </c>
      <c r="V114" s="61" t="s">
        <v>742</v>
      </c>
      <c r="W114" s="62" t="s">
        <v>743</v>
      </c>
      <c r="Y114" s="60"/>
    </row>
    <row r="115" spans="1:25" x14ac:dyDescent="0.25">
      <c r="A115" s="48">
        <v>0</v>
      </c>
      <c r="B115" s="47" t="s">
        <v>803</v>
      </c>
      <c r="C115" s="47" t="s">
        <v>804</v>
      </c>
      <c r="D115" s="48">
        <v>7</v>
      </c>
      <c r="E115" s="60" t="s">
        <v>805</v>
      </c>
      <c r="F115" s="48">
        <v>2</v>
      </c>
      <c r="G115" s="65" t="s">
        <v>837</v>
      </c>
      <c r="H115" s="64" t="s">
        <v>64</v>
      </c>
      <c r="I115" s="48">
        <v>5</v>
      </c>
      <c r="J115" s="60" t="s">
        <v>773</v>
      </c>
      <c r="K115" s="48" t="s">
        <v>67</v>
      </c>
      <c r="L115" s="60" t="s">
        <v>806</v>
      </c>
      <c r="M115" s="48">
        <v>1</v>
      </c>
      <c r="N115" s="48">
        <v>6</v>
      </c>
      <c r="O115" s="60" t="s">
        <v>807</v>
      </c>
      <c r="P115" s="48" t="s">
        <v>66</v>
      </c>
      <c r="Q115" s="60" t="s">
        <v>808</v>
      </c>
      <c r="R115" s="48">
        <v>1</v>
      </c>
      <c r="S115" s="48">
        <v>7</v>
      </c>
      <c r="T115" s="60" t="s">
        <v>809</v>
      </c>
      <c r="U115" s="48">
        <v>2</v>
      </c>
      <c r="V115" s="65" t="s">
        <v>742</v>
      </c>
      <c r="W115" s="64" t="s">
        <v>743</v>
      </c>
      <c r="Y115" s="60"/>
    </row>
    <row r="116" spans="1:25" x14ac:dyDescent="0.25">
      <c r="A116" s="48">
        <v>0</v>
      </c>
      <c r="B116" s="59" t="s">
        <v>810</v>
      </c>
      <c r="C116" s="59" t="s">
        <v>811</v>
      </c>
      <c r="D116" s="67">
        <v>7</v>
      </c>
      <c r="E116" s="61" t="s">
        <v>812</v>
      </c>
      <c r="F116" s="62" t="s">
        <v>66</v>
      </c>
      <c r="G116" s="61" t="s">
        <v>297</v>
      </c>
      <c r="H116" s="62">
        <v>1</v>
      </c>
      <c r="I116" s="67">
        <v>6</v>
      </c>
      <c r="J116" s="61" t="s">
        <v>313</v>
      </c>
      <c r="K116" s="62">
        <v>2</v>
      </c>
      <c r="L116" s="61" t="s">
        <v>880</v>
      </c>
      <c r="M116" s="62" t="s">
        <v>65</v>
      </c>
      <c r="N116" s="67">
        <v>7</v>
      </c>
      <c r="O116" s="61" t="s">
        <v>782</v>
      </c>
      <c r="P116" s="62">
        <v>3</v>
      </c>
      <c r="Q116" s="61" t="s">
        <v>779</v>
      </c>
      <c r="R116" s="62">
        <v>1</v>
      </c>
      <c r="S116" s="67">
        <v>7</v>
      </c>
      <c r="T116" s="61" t="s">
        <v>301</v>
      </c>
      <c r="U116" s="62" t="s">
        <v>65</v>
      </c>
      <c r="V116" s="61" t="s">
        <v>742</v>
      </c>
      <c r="W116" s="62" t="s">
        <v>743</v>
      </c>
      <c r="Y116" s="60"/>
    </row>
    <row r="117" spans="1:25" x14ac:dyDescent="0.25">
      <c r="A117" s="48" t="s">
        <v>575</v>
      </c>
      <c r="B117" s="47" t="s">
        <v>813</v>
      </c>
      <c r="C117" s="47" t="s">
        <v>814</v>
      </c>
      <c r="D117" s="48">
        <v>7</v>
      </c>
      <c r="E117" s="60" t="s">
        <v>815</v>
      </c>
      <c r="F117" s="48" t="s">
        <v>65</v>
      </c>
      <c r="G117" s="65" t="s">
        <v>787</v>
      </c>
      <c r="H117" s="64" t="s">
        <v>64</v>
      </c>
      <c r="I117" s="48">
        <v>7</v>
      </c>
      <c r="J117" s="60" t="s">
        <v>753</v>
      </c>
      <c r="K117" s="48">
        <v>2</v>
      </c>
      <c r="L117" s="65" t="s">
        <v>742</v>
      </c>
      <c r="M117" s="64" t="s">
        <v>743</v>
      </c>
      <c r="N117" s="48">
        <v>5</v>
      </c>
      <c r="O117" s="60" t="s">
        <v>816</v>
      </c>
      <c r="P117" s="48" t="s">
        <v>67</v>
      </c>
      <c r="Q117" s="60" t="s">
        <v>862</v>
      </c>
      <c r="R117" s="48" t="s">
        <v>64</v>
      </c>
      <c r="S117" s="48">
        <v>7</v>
      </c>
      <c r="T117" s="60" t="s">
        <v>816</v>
      </c>
      <c r="U117" s="48" t="s">
        <v>64</v>
      </c>
      <c r="V117" s="60" t="s">
        <v>301</v>
      </c>
      <c r="W117" s="48" t="s">
        <v>64</v>
      </c>
      <c r="Y117" s="60"/>
    </row>
    <row r="118" spans="1:25" x14ac:dyDescent="0.25">
      <c r="A118" s="48" t="s">
        <v>64</v>
      </c>
      <c r="B118" s="59" t="s">
        <v>817</v>
      </c>
      <c r="C118" s="59" t="s">
        <v>818</v>
      </c>
      <c r="D118" s="67">
        <v>7</v>
      </c>
      <c r="E118" s="61" t="s">
        <v>820</v>
      </c>
      <c r="F118" s="62" t="s">
        <v>65</v>
      </c>
      <c r="G118" s="61" t="s">
        <v>808</v>
      </c>
      <c r="H118" s="62" t="s">
        <v>64</v>
      </c>
      <c r="I118" s="67">
        <v>6</v>
      </c>
      <c r="J118" s="61" t="s">
        <v>277</v>
      </c>
      <c r="K118" s="62" t="s">
        <v>67</v>
      </c>
      <c r="L118" s="61" t="s">
        <v>819</v>
      </c>
      <c r="M118" s="62">
        <v>1</v>
      </c>
      <c r="N118" s="67">
        <v>6</v>
      </c>
      <c r="O118" s="61" t="s">
        <v>283</v>
      </c>
      <c r="P118" s="62">
        <v>3</v>
      </c>
      <c r="Q118" s="61" t="s">
        <v>277</v>
      </c>
      <c r="R118" s="62" t="s">
        <v>65</v>
      </c>
      <c r="S118" s="67">
        <v>6</v>
      </c>
      <c r="T118" s="61" t="s">
        <v>862</v>
      </c>
      <c r="U118" s="62" t="s">
        <v>65</v>
      </c>
      <c r="V118" s="61" t="s">
        <v>283</v>
      </c>
      <c r="W118" s="62" t="s">
        <v>65</v>
      </c>
      <c r="Y118" s="60"/>
    </row>
    <row r="119" spans="1:25" x14ac:dyDescent="0.25">
      <c r="A119" s="48" t="s">
        <v>575</v>
      </c>
      <c r="B119" s="47" t="s">
        <v>821</v>
      </c>
      <c r="C119" s="47" t="s">
        <v>822</v>
      </c>
      <c r="D119" s="48">
        <v>7</v>
      </c>
      <c r="E119" s="60" t="s">
        <v>823</v>
      </c>
      <c r="F119" s="48" t="s">
        <v>65</v>
      </c>
      <c r="G119" s="60" t="s">
        <v>742</v>
      </c>
      <c r="H119" s="48" t="s">
        <v>743</v>
      </c>
      <c r="I119" s="48">
        <v>6</v>
      </c>
      <c r="J119" s="60" t="s">
        <v>824</v>
      </c>
      <c r="K119" s="48" t="s">
        <v>65</v>
      </c>
      <c r="L119" s="60" t="s">
        <v>853</v>
      </c>
      <c r="M119" s="64" t="s">
        <v>65</v>
      </c>
      <c r="N119" s="48">
        <v>7</v>
      </c>
      <c r="O119" s="60" t="s">
        <v>867</v>
      </c>
      <c r="P119" s="48">
        <v>2</v>
      </c>
      <c r="Q119" s="60" t="s">
        <v>742</v>
      </c>
      <c r="R119" s="48" t="s">
        <v>743</v>
      </c>
      <c r="S119" s="48">
        <v>6</v>
      </c>
      <c r="T119" s="60" t="s">
        <v>825</v>
      </c>
      <c r="U119" s="48">
        <v>2</v>
      </c>
      <c r="V119" s="60" t="s">
        <v>295</v>
      </c>
      <c r="W119" s="64" t="s">
        <v>65</v>
      </c>
      <c r="Y119" s="60"/>
    </row>
    <row r="120" spans="1:25" x14ac:dyDescent="0.25">
      <c r="A120" s="48">
        <v>0</v>
      </c>
      <c r="B120" s="59" t="s">
        <v>826</v>
      </c>
      <c r="C120" s="59" t="s">
        <v>827</v>
      </c>
      <c r="D120" s="67">
        <v>7</v>
      </c>
      <c r="E120" s="61" t="s">
        <v>828</v>
      </c>
      <c r="F120" s="62">
        <v>2</v>
      </c>
      <c r="G120" s="61" t="s">
        <v>742</v>
      </c>
      <c r="H120" s="62" t="s">
        <v>743</v>
      </c>
      <c r="I120" s="67">
        <v>5</v>
      </c>
      <c r="J120" s="61" t="s">
        <v>828</v>
      </c>
      <c r="K120" s="62" t="s">
        <v>66</v>
      </c>
      <c r="L120" s="62" t="s">
        <v>829</v>
      </c>
      <c r="M120" s="62" t="s">
        <v>65</v>
      </c>
      <c r="N120" s="67">
        <v>6</v>
      </c>
      <c r="O120" s="61" t="s">
        <v>293</v>
      </c>
      <c r="P120" s="62" t="s">
        <v>65</v>
      </c>
      <c r="Q120" s="61" t="s">
        <v>796</v>
      </c>
      <c r="R120" s="62">
        <v>1</v>
      </c>
      <c r="S120" s="67">
        <v>5</v>
      </c>
      <c r="T120" s="61" t="s">
        <v>796</v>
      </c>
      <c r="U120" s="62" t="s">
        <v>66</v>
      </c>
      <c r="V120" s="61" t="s">
        <v>293</v>
      </c>
      <c r="W120" s="62" t="s">
        <v>65</v>
      </c>
      <c r="X120" s="57" t="s">
        <v>899</v>
      </c>
      <c r="Y120" s="60" t="s">
        <v>906</v>
      </c>
    </row>
    <row r="121" spans="1:25" x14ac:dyDescent="0.25">
      <c r="A121" s="48">
        <v>0</v>
      </c>
      <c r="B121" s="47" t="s">
        <v>830</v>
      </c>
      <c r="C121" s="47" t="s">
        <v>831</v>
      </c>
      <c r="D121" s="48">
        <v>7</v>
      </c>
      <c r="E121" s="60" t="s">
        <v>287</v>
      </c>
      <c r="F121" s="48">
        <v>2</v>
      </c>
      <c r="G121" s="60" t="s">
        <v>742</v>
      </c>
      <c r="H121" s="48" t="s">
        <v>743</v>
      </c>
      <c r="I121" s="48">
        <v>7</v>
      </c>
      <c r="J121" s="60" t="s">
        <v>779</v>
      </c>
      <c r="K121" s="48" t="s">
        <v>65</v>
      </c>
      <c r="L121" s="65" t="s">
        <v>742</v>
      </c>
      <c r="M121" s="64" t="s">
        <v>743</v>
      </c>
      <c r="N121" s="48">
        <v>6</v>
      </c>
      <c r="O121" s="60" t="s">
        <v>780</v>
      </c>
      <c r="P121" s="48" t="s">
        <v>65</v>
      </c>
      <c r="Q121" s="60" t="s">
        <v>832</v>
      </c>
      <c r="R121" s="48">
        <v>1</v>
      </c>
      <c r="S121" s="48">
        <v>5</v>
      </c>
      <c r="T121" s="60" t="s">
        <v>833</v>
      </c>
      <c r="U121" s="48" t="s">
        <v>67</v>
      </c>
      <c r="V121" s="60" t="s">
        <v>301</v>
      </c>
      <c r="W121" s="48" t="s">
        <v>64</v>
      </c>
      <c r="X121" s="57" t="s">
        <v>899</v>
      </c>
      <c r="Y121" s="60" t="s">
        <v>907</v>
      </c>
    </row>
    <row r="122" spans="1:25" x14ac:dyDescent="0.25">
      <c r="A122" s="48" t="s">
        <v>575</v>
      </c>
      <c r="B122" s="59" t="s">
        <v>834</v>
      </c>
      <c r="C122" s="59" t="s">
        <v>835</v>
      </c>
      <c r="D122" s="67">
        <v>7</v>
      </c>
      <c r="E122" s="61" t="s">
        <v>770</v>
      </c>
      <c r="F122" s="62">
        <v>2</v>
      </c>
      <c r="G122" s="61" t="s">
        <v>751</v>
      </c>
      <c r="H122" s="62" t="s">
        <v>64</v>
      </c>
      <c r="I122" s="67">
        <v>5</v>
      </c>
      <c r="J122" s="61" t="s">
        <v>319</v>
      </c>
      <c r="K122" s="62" t="s">
        <v>67</v>
      </c>
      <c r="L122" s="61" t="s">
        <v>307</v>
      </c>
      <c r="M122" s="62" t="s">
        <v>64</v>
      </c>
      <c r="N122" s="67">
        <v>6</v>
      </c>
      <c r="O122" s="61" t="s">
        <v>767</v>
      </c>
      <c r="P122" s="62" t="s">
        <v>66</v>
      </c>
      <c r="Q122" s="61" t="s">
        <v>770</v>
      </c>
      <c r="R122" s="62" t="s">
        <v>65</v>
      </c>
      <c r="S122" s="67">
        <v>6</v>
      </c>
      <c r="T122" s="62" t="s">
        <v>840</v>
      </c>
      <c r="U122" s="62">
        <v>2</v>
      </c>
      <c r="V122" s="62" t="s">
        <v>805</v>
      </c>
      <c r="W122" s="62">
        <v>2</v>
      </c>
      <c r="X122" s="57" t="s">
        <v>899</v>
      </c>
      <c r="Y122" s="60" t="s">
        <v>908</v>
      </c>
    </row>
    <row r="123" spans="1:25" x14ac:dyDescent="0.25">
      <c r="A123" s="48" t="s">
        <v>64</v>
      </c>
      <c r="B123" s="47" t="s">
        <v>838</v>
      </c>
      <c r="C123" s="47" t="s">
        <v>839</v>
      </c>
      <c r="D123" s="48">
        <v>7</v>
      </c>
      <c r="E123" s="60" t="s">
        <v>840</v>
      </c>
      <c r="F123" s="48">
        <v>2</v>
      </c>
      <c r="G123" s="60" t="s">
        <v>742</v>
      </c>
      <c r="H123" s="48" t="s">
        <v>743</v>
      </c>
      <c r="I123" s="48">
        <v>5</v>
      </c>
      <c r="J123" s="58" t="s">
        <v>842</v>
      </c>
      <c r="K123" s="5" t="s">
        <v>66</v>
      </c>
      <c r="L123" s="60" t="s">
        <v>841</v>
      </c>
      <c r="M123" s="48" t="s">
        <v>65</v>
      </c>
      <c r="N123" s="48">
        <v>5</v>
      </c>
      <c r="O123" s="60" t="s">
        <v>840</v>
      </c>
      <c r="P123" s="48" t="s">
        <v>66</v>
      </c>
      <c r="Q123" s="60" t="s">
        <v>289</v>
      </c>
      <c r="R123" s="48" t="s">
        <v>65</v>
      </c>
      <c r="S123" s="48">
        <v>5</v>
      </c>
      <c r="T123" s="58" t="s">
        <v>281</v>
      </c>
      <c r="U123" s="5" t="s">
        <v>66</v>
      </c>
      <c r="V123" s="60" t="s">
        <v>840</v>
      </c>
      <c r="W123" s="48">
        <v>2</v>
      </c>
      <c r="X123" s="57" t="s">
        <v>899</v>
      </c>
      <c r="Y123" s="60" t="s">
        <v>909</v>
      </c>
    </row>
    <row r="124" spans="1:25" x14ac:dyDescent="0.25">
      <c r="A124" s="48">
        <v>0</v>
      </c>
      <c r="B124" s="59" t="s">
        <v>843</v>
      </c>
      <c r="C124" s="59" t="s">
        <v>844</v>
      </c>
      <c r="D124" s="67">
        <v>7</v>
      </c>
      <c r="E124" s="61" t="s">
        <v>788</v>
      </c>
      <c r="F124" s="62">
        <v>2</v>
      </c>
      <c r="G124" s="61" t="s">
        <v>742</v>
      </c>
      <c r="H124" s="62" t="s">
        <v>743</v>
      </c>
      <c r="I124" s="67">
        <v>7</v>
      </c>
      <c r="J124" s="61" t="s">
        <v>781</v>
      </c>
      <c r="K124" s="62">
        <v>3</v>
      </c>
      <c r="L124" s="61" t="s">
        <v>307</v>
      </c>
      <c r="M124" s="62">
        <v>1</v>
      </c>
      <c r="N124" s="67">
        <v>6</v>
      </c>
      <c r="O124" s="61" t="s">
        <v>307</v>
      </c>
      <c r="P124" s="62">
        <v>2</v>
      </c>
      <c r="Q124" s="61" t="s">
        <v>753</v>
      </c>
      <c r="R124" s="62">
        <v>2</v>
      </c>
      <c r="S124" s="67">
        <v>7</v>
      </c>
      <c r="T124" s="61" t="s">
        <v>782</v>
      </c>
      <c r="U124" s="62" t="s">
        <v>66</v>
      </c>
      <c r="V124" s="61" t="s">
        <v>788</v>
      </c>
      <c r="W124" s="62">
        <v>1</v>
      </c>
      <c r="Y124" s="60"/>
    </row>
    <row r="125" spans="1:25" x14ac:dyDescent="0.25">
      <c r="A125" s="48" t="s">
        <v>64</v>
      </c>
      <c r="B125" s="47" t="s">
        <v>845</v>
      </c>
      <c r="C125" s="47" t="s">
        <v>846</v>
      </c>
      <c r="D125" s="48">
        <v>7</v>
      </c>
      <c r="E125" s="5" t="s">
        <v>281</v>
      </c>
      <c r="F125" s="48" t="s">
        <v>65</v>
      </c>
      <c r="G125" s="60" t="s">
        <v>742</v>
      </c>
      <c r="H125" s="48" t="s">
        <v>743</v>
      </c>
      <c r="I125" s="48">
        <v>7</v>
      </c>
      <c r="J125" s="60" t="s">
        <v>279</v>
      </c>
      <c r="K125" s="48" t="s">
        <v>65</v>
      </c>
      <c r="L125" s="60" t="s">
        <v>297</v>
      </c>
      <c r="M125" s="48">
        <v>1</v>
      </c>
      <c r="N125" s="48">
        <v>6</v>
      </c>
      <c r="O125" s="5" t="s">
        <v>281</v>
      </c>
      <c r="P125" s="48" t="s">
        <v>66</v>
      </c>
      <c r="Q125" s="60" t="s">
        <v>741</v>
      </c>
      <c r="R125" s="48" t="s">
        <v>64</v>
      </c>
      <c r="S125" s="48">
        <v>6</v>
      </c>
      <c r="T125" s="60" t="s">
        <v>842</v>
      </c>
      <c r="U125" s="48" t="s">
        <v>65</v>
      </c>
      <c r="V125" s="60" t="s">
        <v>847</v>
      </c>
      <c r="W125" s="48">
        <v>1</v>
      </c>
      <c r="X125" s="4"/>
      <c r="Y125" s="4"/>
    </row>
    <row r="126" spans="1:25" x14ac:dyDescent="0.25">
      <c r="A126" s="48" t="s">
        <v>64</v>
      </c>
      <c r="B126" s="59" t="s">
        <v>848</v>
      </c>
      <c r="C126" s="59" t="s">
        <v>849</v>
      </c>
      <c r="D126" s="67">
        <v>7</v>
      </c>
      <c r="E126" s="61" t="s">
        <v>850</v>
      </c>
      <c r="F126" s="62">
        <v>2</v>
      </c>
      <c r="G126" s="61" t="s">
        <v>742</v>
      </c>
      <c r="H126" s="62" t="s">
        <v>743</v>
      </c>
      <c r="I126" s="67">
        <v>5</v>
      </c>
      <c r="J126" s="61" t="s">
        <v>850</v>
      </c>
      <c r="K126" s="62" t="s">
        <v>66</v>
      </c>
      <c r="L126" s="61" t="s">
        <v>319</v>
      </c>
      <c r="M126" s="62" t="s">
        <v>65</v>
      </c>
      <c r="N126" s="67">
        <v>6</v>
      </c>
      <c r="O126" s="61" t="s">
        <v>319</v>
      </c>
      <c r="P126" s="62" t="s">
        <v>65</v>
      </c>
      <c r="Q126" s="61" t="s">
        <v>321</v>
      </c>
      <c r="R126" s="62">
        <v>2</v>
      </c>
      <c r="S126" s="67">
        <v>7</v>
      </c>
      <c r="T126" s="61" t="s">
        <v>319</v>
      </c>
      <c r="U126" s="62" t="s">
        <v>64</v>
      </c>
      <c r="V126" s="61" t="s">
        <v>279</v>
      </c>
      <c r="W126" s="62" t="s">
        <v>64</v>
      </c>
      <c r="X126" s="57" t="s">
        <v>899</v>
      </c>
      <c r="Y126" s="60" t="s">
        <v>910</v>
      </c>
    </row>
    <row r="127" spans="1:25" x14ac:dyDescent="0.25">
      <c r="A127" s="48">
        <v>0</v>
      </c>
      <c r="B127" s="47" t="s">
        <v>851</v>
      </c>
      <c r="C127" s="47" t="s">
        <v>852</v>
      </c>
      <c r="D127" s="48">
        <v>7</v>
      </c>
      <c r="E127" s="60" t="s">
        <v>853</v>
      </c>
      <c r="F127" s="48">
        <v>2</v>
      </c>
      <c r="G127" s="60" t="s">
        <v>742</v>
      </c>
      <c r="H127" s="48" t="s">
        <v>743</v>
      </c>
      <c r="I127" s="48">
        <v>7</v>
      </c>
      <c r="J127" s="60" t="s">
        <v>295</v>
      </c>
      <c r="K127" s="48" t="s">
        <v>65</v>
      </c>
      <c r="L127" s="65" t="s">
        <v>751</v>
      </c>
      <c r="M127" s="64" t="s">
        <v>64</v>
      </c>
      <c r="N127" s="48">
        <v>6</v>
      </c>
      <c r="O127" s="60" t="s">
        <v>854</v>
      </c>
      <c r="P127" s="48" t="s">
        <v>65</v>
      </c>
      <c r="Q127" s="60" t="s">
        <v>853</v>
      </c>
      <c r="R127" s="48">
        <v>2</v>
      </c>
      <c r="S127" s="48">
        <v>6</v>
      </c>
      <c r="T127" s="60" t="s">
        <v>309</v>
      </c>
      <c r="U127" s="48" t="s">
        <v>66</v>
      </c>
      <c r="V127" s="60" t="s">
        <v>853</v>
      </c>
      <c r="W127" s="48" t="s">
        <v>64</v>
      </c>
      <c r="X127" s="57" t="s">
        <v>899</v>
      </c>
      <c r="Y127" s="60" t="s">
        <v>911</v>
      </c>
    </row>
    <row r="128" spans="1:25" x14ac:dyDescent="0.25">
      <c r="A128" s="48">
        <v>0</v>
      </c>
      <c r="B128" s="59" t="s">
        <v>855</v>
      </c>
      <c r="C128" s="59" t="s">
        <v>856</v>
      </c>
      <c r="D128" s="67">
        <v>7</v>
      </c>
      <c r="E128" s="61" t="s">
        <v>285</v>
      </c>
      <c r="F128" s="62">
        <v>2</v>
      </c>
      <c r="G128" s="61" t="s">
        <v>742</v>
      </c>
      <c r="H128" s="62" t="s">
        <v>743</v>
      </c>
      <c r="I128" s="67">
        <v>7</v>
      </c>
      <c r="J128" s="61" t="s">
        <v>857</v>
      </c>
      <c r="K128" s="62" t="s">
        <v>65</v>
      </c>
      <c r="L128" s="61" t="s">
        <v>742</v>
      </c>
      <c r="M128" s="62" t="s">
        <v>743</v>
      </c>
      <c r="N128" s="67">
        <v>6</v>
      </c>
      <c r="O128" s="62" t="s">
        <v>279</v>
      </c>
      <c r="P128" s="62" t="s">
        <v>66</v>
      </c>
      <c r="Q128" s="61" t="s">
        <v>886</v>
      </c>
      <c r="R128" s="62" t="s">
        <v>65</v>
      </c>
      <c r="S128" s="67">
        <v>7</v>
      </c>
      <c r="T128" s="61" t="s">
        <v>291</v>
      </c>
      <c r="U128" s="62" t="s">
        <v>64</v>
      </c>
      <c r="V128" s="61" t="s">
        <v>305</v>
      </c>
      <c r="W128" s="62" t="s">
        <v>64</v>
      </c>
      <c r="Y128" s="60"/>
    </row>
    <row r="129" spans="1:25" x14ac:dyDescent="0.25">
      <c r="A129" s="48" t="s">
        <v>64</v>
      </c>
      <c r="B129" s="47" t="s">
        <v>858</v>
      </c>
      <c r="C129" s="47" t="s">
        <v>859</v>
      </c>
      <c r="D129" s="48">
        <v>7</v>
      </c>
      <c r="E129" s="60" t="s">
        <v>289</v>
      </c>
      <c r="F129" s="48">
        <v>2</v>
      </c>
      <c r="G129" s="60" t="s">
        <v>742</v>
      </c>
      <c r="H129" s="48" t="s">
        <v>743</v>
      </c>
      <c r="I129" s="48">
        <v>5</v>
      </c>
      <c r="J129" s="60" t="s">
        <v>761</v>
      </c>
      <c r="K129" s="48" t="s">
        <v>66</v>
      </c>
      <c r="L129" s="60" t="s">
        <v>841</v>
      </c>
      <c r="M129" s="48" t="s">
        <v>65</v>
      </c>
      <c r="N129" s="48">
        <v>7</v>
      </c>
      <c r="O129" s="60" t="s">
        <v>289</v>
      </c>
      <c r="P129" s="48" t="s">
        <v>64</v>
      </c>
      <c r="Q129" s="60" t="s">
        <v>823</v>
      </c>
      <c r="R129" s="48">
        <v>1</v>
      </c>
      <c r="S129" s="48">
        <v>7</v>
      </c>
      <c r="T129" s="60" t="s">
        <v>841</v>
      </c>
      <c r="U129" s="48" t="s">
        <v>64</v>
      </c>
      <c r="V129" s="60" t="s">
        <v>823</v>
      </c>
      <c r="W129" s="48" t="s">
        <v>64</v>
      </c>
      <c r="X129" s="57" t="s">
        <v>899</v>
      </c>
      <c r="Y129" s="60" t="s">
        <v>912</v>
      </c>
    </row>
    <row r="130" spans="1:25" x14ac:dyDescent="0.25">
      <c r="A130" s="48">
        <v>0</v>
      </c>
      <c r="B130" s="59" t="s">
        <v>860</v>
      </c>
      <c r="C130" s="59" t="s">
        <v>861</v>
      </c>
      <c r="D130" s="67">
        <v>7</v>
      </c>
      <c r="E130" s="61" t="s">
        <v>862</v>
      </c>
      <c r="F130" s="62">
        <v>2</v>
      </c>
      <c r="G130" s="61" t="s">
        <v>742</v>
      </c>
      <c r="H130" s="62" t="s">
        <v>743</v>
      </c>
      <c r="I130" s="67">
        <v>5</v>
      </c>
      <c r="J130" s="61" t="s">
        <v>877</v>
      </c>
      <c r="K130" s="62" t="s">
        <v>66</v>
      </c>
      <c r="L130" s="61" t="s">
        <v>862</v>
      </c>
      <c r="M130" s="62" t="s">
        <v>65</v>
      </c>
      <c r="N130" s="67">
        <v>7</v>
      </c>
      <c r="O130" s="61" t="s">
        <v>863</v>
      </c>
      <c r="P130" s="62">
        <v>1</v>
      </c>
      <c r="Q130" s="61" t="s">
        <v>321</v>
      </c>
      <c r="R130" s="62">
        <v>1</v>
      </c>
      <c r="S130" s="67">
        <v>6</v>
      </c>
      <c r="T130" s="61" t="s">
        <v>313</v>
      </c>
      <c r="U130" s="62" t="s">
        <v>66</v>
      </c>
      <c r="V130" s="61" t="s">
        <v>742</v>
      </c>
      <c r="W130" s="62" t="s">
        <v>743</v>
      </c>
      <c r="X130" s="57" t="s">
        <v>899</v>
      </c>
      <c r="Y130" s="60" t="s">
        <v>913</v>
      </c>
    </row>
    <row r="131" spans="1:25" x14ac:dyDescent="0.25">
      <c r="A131" s="48">
        <v>0</v>
      </c>
      <c r="B131" s="47" t="s">
        <v>864</v>
      </c>
      <c r="C131" s="47" t="s">
        <v>865</v>
      </c>
      <c r="D131" s="48">
        <v>7</v>
      </c>
      <c r="E131" s="60" t="s">
        <v>291</v>
      </c>
      <c r="F131" s="48">
        <v>2</v>
      </c>
      <c r="G131" s="60" t="s">
        <v>742</v>
      </c>
      <c r="H131" s="48" t="s">
        <v>743</v>
      </c>
      <c r="I131" s="48">
        <v>6</v>
      </c>
      <c r="J131" s="60" t="s">
        <v>291</v>
      </c>
      <c r="K131" s="48">
        <v>3</v>
      </c>
      <c r="L131" s="48" t="s">
        <v>762</v>
      </c>
      <c r="M131" s="48">
        <v>1</v>
      </c>
      <c r="N131" s="48">
        <v>6</v>
      </c>
      <c r="O131" s="60" t="s">
        <v>867</v>
      </c>
      <c r="P131" s="48">
        <v>2</v>
      </c>
      <c r="Q131" s="60" t="s">
        <v>866</v>
      </c>
      <c r="R131" s="48" t="s">
        <v>64</v>
      </c>
      <c r="S131" s="48">
        <v>7</v>
      </c>
      <c r="T131" s="60" t="s">
        <v>866</v>
      </c>
      <c r="U131" s="48" t="s">
        <v>64</v>
      </c>
      <c r="V131" s="48" t="s">
        <v>762</v>
      </c>
      <c r="W131" s="48" t="s">
        <v>65</v>
      </c>
      <c r="X131" s="57" t="s">
        <v>899</v>
      </c>
      <c r="Y131" s="60" t="s">
        <v>914</v>
      </c>
    </row>
    <row r="132" spans="1:25" x14ac:dyDescent="0.25">
      <c r="A132" s="48" t="s">
        <v>64</v>
      </c>
      <c r="B132" s="59" t="s">
        <v>868</v>
      </c>
      <c r="C132" s="59" t="s">
        <v>869</v>
      </c>
      <c r="D132" s="67">
        <v>7</v>
      </c>
      <c r="E132" s="61" t="s">
        <v>870</v>
      </c>
      <c r="F132" s="62">
        <v>2</v>
      </c>
      <c r="G132" s="61" t="s">
        <v>742</v>
      </c>
      <c r="H132" s="62" t="s">
        <v>743</v>
      </c>
      <c r="I132" s="67">
        <v>5</v>
      </c>
      <c r="J132" s="61" t="s">
        <v>883</v>
      </c>
      <c r="K132" s="62" t="s">
        <v>66</v>
      </c>
      <c r="L132" s="61" t="s">
        <v>871</v>
      </c>
      <c r="M132" s="62" t="s">
        <v>65</v>
      </c>
      <c r="N132" s="67">
        <v>6</v>
      </c>
      <c r="O132" s="61" t="s">
        <v>870</v>
      </c>
      <c r="P132" s="62">
        <v>2</v>
      </c>
      <c r="Q132" s="61" t="s">
        <v>752</v>
      </c>
      <c r="R132" s="62">
        <v>2</v>
      </c>
      <c r="S132" s="67">
        <v>5</v>
      </c>
      <c r="T132" s="61" t="s">
        <v>863</v>
      </c>
      <c r="U132" s="62" t="s">
        <v>66</v>
      </c>
      <c r="V132" s="61" t="s">
        <v>870</v>
      </c>
      <c r="W132" s="62">
        <v>2</v>
      </c>
      <c r="X132" s="57" t="s">
        <v>899</v>
      </c>
      <c r="Y132" s="60" t="s">
        <v>915</v>
      </c>
    </row>
    <row r="133" spans="1:25" x14ac:dyDescent="0.25">
      <c r="A133" s="48" t="s">
        <v>64</v>
      </c>
      <c r="B133" s="47" t="s">
        <v>872</v>
      </c>
      <c r="C133" s="47" t="s">
        <v>873</v>
      </c>
      <c r="D133" s="48">
        <v>7</v>
      </c>
      <c r="E133" s="60" t="s">
        <v>874</v>
      </c>
      <c r="F133" s="48">
        <v>2</v>
      </c>
      <c r="G133" s="60" t="s">
        <v>742</v>
      </c>
      <c r="H133" s="48" t="s">
        <v>743</v>
      </c>
      <c r="I133" s="48">
        <v>5</v>
      </c>
      <c r="J133" s="60" t="s">
        <v>874</v>
      </c>
      <c r="K133" s="48" t="s">
        <v>66</v>
      </c>
      <c r="L133" s="60" t="s">
        <v>307</v>
      </c>
      <c r="M133" s="48" t="s">
        <v>65</v>
      </c>
      <c r="N133" s="48">
        <v>5</v>
      </c>
      <c r="O133" s="60" t="s">
        <v>773</v>
      </c>
      <c r="P133" s="48" t="s">
        <v>66</v>
      </c>
      <c r="Q133" s="60" t="s">
        <v>874</v>
      </c>
      <c r="R133" s="48" t="s">
        <v>65</v>
      </c>
      <c r="S133" s="48">
        <v>7</v>
      </c>
      <c r="T133" s="60" t="s">
        <v>307</v>
      </c>
      <c r="U133" s="5" t="s">
        <v>64</v>
      </c>
      <c r="V133" s="5" t="s">
        <v>800</v>
      </c>
      <c r="W133" s="48" t="s">
        <v>64</v>
      </c>
      <c r="X133" s="57" t="s">
        <v>899</v>
      </c>
      <c r="Y133" s="60" t="s">
        <v>916</v>
      </c>
    </row>
    <row r="134" spans="1:25" x14ac:dyDescent="0.25">
      <c r="A134" s="48" t="s">
        <v>64</v>
      </c>
      <c r="B134" s="59" t="s">
        <v>875</v>
      </c>
      <c r="C134" s="59" t="s">
        <v>876</v>
      </c>
      <c r="D134" s="67">
        <v>7</v>
      </c>
      <c r="E134" s="61" t="s">
        <v>877</v>
      </c>
      <c r="F134" s="62">
        <v>2</v>
      </c>
      <c r="G134" s="61" t="s">
        <v>742</v>
      </c>
      <c r="H134" s="62" t="s">
        <v>743</v>
      </c>
      <c r="I134" s="67">
        <v>6</v>
      </c>
      <c r="J134" s="61" t="s">
        <v>877</v>
      </c>
      <c r="K134" s="62" t="s">
        <v>66</v>
      </c>
      <c r="L134" s="61" t="s">
        <v>808</v>
      </c>
      <c r="M134" s="62" t="s">
        <v>64</v>
      </c>
      <c r="N134" s="67">
        <v>6</v>
      </c>
      <c r="O134" s="61" t="s">
        <v>744</v>
      </c>
      <c r="P134" s="62" t="s">
        <v>68</v>
      </c>
      <c r="Q134" s="61" t="s">
        <v>742</v>
      </c>
      <c r="R134" s="62" t="s">
        <v>743</v>
      </c>
      <c r="S134" s="67">
        <v>5</v>
      </c>
      <c r="T134" s="61" t="s">
        <v>281</v>
      </c>
      <c r="U134" s="62" t="s">
        <v>66</v>
      </c>
      <c r="V134" s="61" t="s">
        <v>773</v>
      </c>
      <c r="W134" s="62" t="s">
        <v>65</v>
      </c>
      <c r="X134" s="57" t="s">
        <v>899</v>
      </c>
      <c r="Y134" s="60" t="s">
        <v>917</v>
      </c>
    </row>
    <row r="135" spans="1:25" x14ac:dyDescent="0.25">
      <c r="A135" s="48" t="s">
        <v>575</v>
      </c>
      <c r="B135" s="47" t="s">
        <v>878</v>
      </c>
      <c r="C135" s="47" t="s">
        <v>879</v>
      </c>
      <c r="D135" s="48">
        <v>7</v>
      </c>
      <c r="E135" s="60" t="s">
        <v>780</v>
      </c>
      <c r="F135" s="48">
        <v>2</v>
      </c>
      <c r="G135" s="60" t="s">
        <v>742</v>
      </c>
      <c r="H135" s="48" t="s">
        <v>743</v>
      </c>
      <c r="I135" s="48">
        <v>6</v>
      </c>
      <c r="J135" s="60" t="s">
        <v>293</v>
      </c>
      <c r="K135" s="48" t="s">
        <v>65</v>
      </c>
      <c r="L135" s="60" t="s">
        <v>303</v>
      </c>
      <c r="M135" s="48" t="s">
        <v>65</v>
      </c>
      <c r="N135" s="48">
        <v>7</v>
      </c>
      <c r="O135" s="60" t="s">
        <v>303</v>
      </c>
      <c r="P135" s="48" t="s">
        <v>64</v>
      </c>
      <c r="Q135" s="60" t="s">
        <v>880</v>
      </c>
      <c r="R135" s="48" t="s">
        <v>64</v>
      </c>
      <c r="S135" s="48">
        <v>6</v>
      </c>
      <c r="T135" s="60" t="s">
        <v>293</v>
      </c>
      <c r="U135" s="48" t="s">
        <v>65</v>
      </c>
      <c r="V135" s="60" t="s">
        <v>880</v>
      </c>
      <c r="W135" s="5" t="s">
        <v>65</v>
      </c>
      <c r="Y135" s="60"/>
    </row>
    <row r="136" spans="1:25" x14ac:dyDescent="0.25">
      <c r="A136" s="48" t="s">
        <v>64</v>
      </c>
      <c r="B136" s="59" t="s">
        <v>881</v>
      </c>
      <c r="C136" s="59" t="s">
        <v>882</v>
      </c>
      <c r="D136" s="67">
        <v>7</v>
      </c>
      <c r="E136" s="61" t="s">
        <v>883</v>
      </c>
      <c r="F136" s="62">
        <v>2</v>
      </c>
      <c r="G136" s="61" t="s">
        <v>742</v>
      </c>
      <c r="H136" s="62" t="s">
        <v>743</v>
      </c>
      <c r="I136" s="67">
        <v>6</v>
      </c>
      <c r="J136" s="61" t="s">
        <v>883</v>
      </c>
      <c r="K136" s="62" t="s">
        <v>65</v>
      </c>
      <c r="L136" s="61" t="s">
        <v>788</v>
      </c>
      <c r="M136" s="62" t="s">
        <v>65</v>
      </c>
      <c r="N136" s="67">
        <v>7</v>
      </c>
      <c r="O136" s="61" t="s">
        <v>883</v>
      </c>
      <c r="P136" s="62">
        <v>1</v>
      </c>
      <c r="Q136" s="61" t="s">
        <v>853</v>
      </c>
      <c r="R136" s="62">
        <v>1</v>
      </c>
      <c r="S136" s="67">
        <v>6</v>
      </c>
      <c r="T136" s="61" t="s">
        <v>277</v>
      </c>
      <c r="U136" s="62" t="s">
        <v>66</v>
      </c>
      <c r="V136" s="61" t="s">
        <v>853</v>
      </c>
      <c r="W136" s="62" t="s">
        <v>65</v>
      </c>
      <c r="X136" s="57" t="s">
        <v>899</v>
      </c>
      <c r="Y136" s="60" t="s">
        <v>918</v>
      </c>
    </row>
    <row r="137" spans="1:25" x14ac:dyDescent="0.25">
      <c r="A137" s="48" t="s">
        <v>575</v>
      </c>
      <c r="B137" s="47" t="s">
        <v>884</v>
      </c>
      <c r="C137" s="47" t="s">
        <v>885</v>
      </c>
      <c r="D137" s="48">
        <v>7</v>
      </c>
      <c r="E137" s="58" t="s">
        <v>796</v>
      </c>
      <c r="F137" s="48">
        <v>2</v>
      </c>
      <c r="G137" s="60" t="s">
        <v>742</v>
      </c>
      <c r="H137" s="48" t="s">
        <v>743</v>
      </c>
      <c r="I137" s="48">
        <v>7</v>
      </c>
      <c r="J137" s="58" t="s">
        <v>795</v>
      </c>
      <c r="K137" s="48" t="s">
        <v>65</v>
      </c>
      <c r="L137" s="60" t="s">
        <v>742</v>
      </c>
      <c r="M137" s="48" t="s">
        <v>743</v>
      </c>
      <c r="N137" s="48">
        <v>6</v>
      </c>
      <c r="O137" s="60" t="s">
        <v>789</v>
      </c>
      <c r="P137" s="48" t="s">
        <v>67</v>
      </c>
      <c r="Q137" s="60" t="s">
        <v>742</v>
      </c>
      <c r="R137" s="48" t="s">
        <v>743</v>
      </c>
      <c r="S137" s="48">
        <v>5</v>
      </c>
      <c r="T137" s="58" t="s">
        <v>795</v>
      </c>
      <c r="U137" s="48">
        <v>3</v>
      </c>
      <c r="V137" s="58" t="s">
        <v>796</v>
      </c>
      <c r="W137" s="48" t="s">
        <v>65</v>
      </c>
      <c r="Y137" s="60"/>
    </row>
    <row r="138" spans="1:25" x14ac:dyDescent="0.25">
      <c r="A138" s="48"/>
      <c r="B138" s="47"/>
      <c r="D138" s="48"/>
      <c r="E138" s="58"/>
      <c r="F138" s="48"/>
      <c r="G138" s="60"/>
      <c r="H138" s="48"/>
      <c r="I138" s="48"/>
      <c r="J138" s="58"/>
      <c r="L138" s="4"/>
      <c r="M138" s="4"/>
      <c r="N138" s="48"/>
      <c r="O138" s="4"/>
      <c r="P138" s="4"/>
      <c r="Q138" s="4"/>
      <c r="R138" s="4"/>
      <c r="S138" s="48"/>
      <c r="T138" s="58"/>
      <c r="V138" s="60"/>
      <c r="W138" s="48"/>
      <c r="Y138" s="60"/>
    </row>
    <row r="139" spans="1:25" x14ac:dyDescent="0.25">
      <c r="A139" s="48" t="s">
        <v>919</v>
      </c>
      <c r="B139" s="47" t="s">
        <v>888</v>
      </c>
      <c r="C139" s="47" t="s">
        <v>889</v>
      </c>
      <c r="D139" s="48" t="s">
        <v>68</v>
      </c>
      <c r="E139" s="60" t="s">
        <v>742</v>
      </c>
      <c r="F139" s="48" t="s">
        <v>743</v>
      </c>
      <c r="G139" s="60" t="s">
        <v>742</v>
      </c>
      <c r="H139" s="48" t="s">
        <v>743</v>
      </c>
      <c r="I139" s="48" t="s">
        <v>68</v>
      </c>
      <c r="J139" s="60" t="s">
        <v>742</v>
      </c>
      <c r="K139" s="48" t="s">
        <v>743</v>
      </c>
      <c r="L139" s="60" t="s">
        <v>742</v>
      </c>
      <c r="M139" s="48" t="s">
        <v>743</v>
      </c>
      <c r="N139" s="48" t="s">
        <v>68</v>
      </c>
      <c r="O139" s="60" t="s">
        <v>742</v>
      </c>
      <c r="P139" s="48" t="s">
        <v>743</v>
      </c>
      <c r="Q139" s="60" t="s">
        <v>742</v>
      </c>
      <c r="R139" s="48" t="s">
        <v>743</v>
      </c>
      <c r="S139" s="48" t="s">
        <v>68</v>
      </c>
      <c r="T139" s="60" t="s">
        <v>742</v>
      </c>
      <c r="U139" s="48" t="s">
        <v>743</v>
      </c>
      <c r="V139" s="60" t="s">
        <v>742</v>
      </c>
      <c r="W139" s="48" t="s">
        <v>743</v>
      </c>
      <c r="X139" s="57" t="s">
        <v>890</v>
      </c>
      <c r="Y139" s="48" t="s">
        <v>891</v>
      </c>
    </row>
    <row r="140" spans="1:25" x14ac:dyDescent="0.25">
      <c r="A140" s="47"/>
      <c r="J140" s="4"/>
      <c r="K140" s="4"/>
      <c r="O140" s="4"/>
      <c r="P140" s="4"/>
    </row>
    <row r="141" spans="1:25" x14ac:dyDescent="0.25">
      <c r="A141" s="69"/>
      <c r="B141" s="69"/>
      <c r="C141" s="69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69"/>
      <c r="Y141" s="70"/>
    </row>
    <row r="152" spans="3:25" x14ac:dyDescent="0.25">
      <c r="C152" s="48"/>
      <c r="E152" s="5"/>
      <c r="G152" s="5"/>
      <c r="J152" s="5"/>
      <c r="L152" s="5"/>
      <c r="O152" s="5"/>
      <c r="Q152" s="5"/>
      <c r="T152" s="5"/>
      <c r="V152" s="5"/>
      <c r="X152" s="48"/>
      <c r="Y152" s="5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honeticPr fontId="11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3:AA55"/>
  <sheetViews>
    <sheetView workbookViewId="0">
      <selection activeCell="W3" sqref="W3:Z4"/>
    </sheetView>
  </sheetViews>
  <sheetFormatPr defaultColWidth="9" defaultRowHeight="14" x14ac:dyDescent="0.25"/>
  <cols>
    <col min="1" max="1" width="9" style="4"/>
    <col min="2" max="2" width="14" style="32" customWidth="1"/>
    <col min="3" max="3" width="6.54296875" style="5" customWidth="1"/>
    <col min="4" max="4" width="11.81640625" style="4" customWidth="1"/>
    <col min="5" max="5" width="14" style="4" customWidth="1"/>
    <col min="6" max="6" width="4.54296875" style="4" customWidth="1"/>
    <col min="7" max="7" width="6.54296875" style="4" customWidth="1"/>
    <col min="8" max="8" width="18.54296875" style="4" customWidth="1"/>
    <col min="9" max="9" width="14" style="5" customWidth="1"/>
    <col min="10" max="10" width="4.54296875" style="4" customWidth="1"/>
    <col min="11" max="11" width="6.54296875" style="32" customWidth="1"/>
    <col min="12" max="12" width="17.36328125" style="5" customWidth="1"/>
    <col min="13" max="13" width="14" style="4" customWidth="1"/>
    <col min="14" max="15" width="4.54296875" style="4" customWidth="1"/>
    <col min="16" max="16" width="7.54296875" style="32" customWidth="1"/>
    <col min="17" max="17" width="24.1796875" style="5" customWidth="1"/>
    <col min="18" max="18" width="9" style="4"/>
    <col min="19" max="19" width="7.54296875" style="32" customWidth="1"/>
    <col min="20" max="20" width="18.54296875" style="5" customWidth="1"/>
    <col min="21" max="21" width="3.54296875" style="4" customWidth="1"/>
    <col min="22" max="22" width="6.54296875" style="4" customWidth="1"/>
    <col min="23" max="23" width="5.54296875" style="4" customWidth="1"/>
    <col min="24" max="24" width="16.26953125" style="4" customWidth="1"/>
    <col min="25" max="25" width="9.1796875" style="4" customWidth="1"/>
    <col min="26" max="26" width="19.6328125" style="4" customWidth="1"/>
    <col min="27" max="27" width="9.54296875" style="4" customWidth="1"/>
    <col min="28" max="28" width="11.81640625" style="4" customWidth="1"/>
    <col min="29" max="29" width="2.54296875" style="4" customWidth="1"/>
    <col min="30" max="16384" width="9" style="4"/>
  </cols>
  <sheetData>
    <row r="3" spans="3:26" x14ac:dyDescent="0.25">
      <c r="C3" s="198" t="s">
        <v>920</v>
      </c>
      <c r="D3" s="198"/>
      <c r="E3" s="198"/>
      <c r="F3" s="198"/>
      <c r="G3" s="198"/>
      <c r="H3" s="198"/>
      <c r="I3" s="198"/>
      <c r="J3" s="198"/>
      <c r="K3" s="198"/>
      <c r="L3" s="198"/>
      <c r="M3" s="198"/>
      <c r="P3" s="198" t="s">
        <v>921</v>
      </c>
      <c r="Q3" s="198"/>
      <c r="R3" s="198"/>
      <c r="S3" s="198"/>
      <c r="T3" s="198"/>
      <c r="W3" s="198" t="s">
        <v>922</v>
      </c>
      <c r="X3" s="198"/>
      <c r="Y3" s="198"/>
      <c r="Z3" s="198"/>
    </row>
    <row r="4" spans="3:26" x14ac:dyDescent="0.25">
      <c r="C4" s="198"/>
      <c r="D4" s="198"/>
      <c r="E4" s="198"/>
      <c r="F4" s="198"/>
      <c r="G4" s="198"/>
      <c r="H4" s="198"/>
      <c r="I4" s="198"/>
      <c r="J4" s="198"/>
      <c r="K4" s="198"/>
      <c r="L4" s="198"/>
      <c r="M4" s="198"/>
      <c r="P4" s="198"/>
      <c r="Q4" s="198"/>
      <c r="R4" s="198"/>
      <c r="S4" s="198"/>
      <c r="T4" s="198"/>
      <c r="W4" s="198"/>
      <c r="X4" s="198"/>
      <c r="Y4" s="198"/>
      <c r="Z4" s="198"/>
    </row>
    <row r="7" spans="3:26" x14ac:dyDescent="0.25">
      <c r="C7" s="32"/>
      <c r="E7" s="5" t="s">
        <v>923</v>
      </c>
      <c r="I7" s="5" t="s">
        <v>923</v>
      </c>
      <c r="K7" s="4"/>
      <c r="L7" s="4"/>
      <c r="M7" s="5" t="s">
        <v>923</v>
      </c>
      <c r="P7" s="4"/>
      <c r="Q7" s="4"/>
      <c r="S7" s="4"/>
      <c r="T7" s="4"/>
      <c r="Z7" s="4" t="s">
        <v>924</v>
      </c>
    </row>
    <row r="8" spans="3:26" x14ac:dyDescent="0.25">
      <c r="C8" s="33" t="s">
        <v>925</v>
      </c>
      <c r="D8" s="32" t="s">
        <v>748</v>
      </c>
      <c r="E8" s="5">
        <v>1</v>
      </c>
      <c r="G8" s="34" t="s">
        <v>926</v>
      </c>
      <c r="H8" s="4" t="s">
        <v>820</v>
      </c>
      <c r="I8" s="5">
        <v>2</v>
      </c>
      <c r="K8" s="35" t="s">
        <v>927</v>
      </c>
      <c r="L8" s="4" t="s">
        <v>319</v>
      </c>
      <c r="M8" s="5">
        <v>5</v>
      </c>
      <c r="P8" s="36" t="s">
        <v>928</v>
      </c>
      <c r="Q8" s="4" t="s">
        <v>929</v>
      </c>
      <c r="S8" s="37" t="s">
        <v>930</v>
      </c>
      <c r="T8" s="38" t="s">
        <v>931</v>
      </c>
      <c r="W8" s="39" t="s">
        <v>932</v>
      </c>
    </row>
    <row r="9" spans="3:26" x14ac:dyDescent="0.25">
      <c r="C9" s="4"/>
      <c r="D9" s="32" t="s">
        <v>741</v>
      </c>
      <c r="E9" s="5">
        <v>1</v>
      </c>
      <c r="H9" s="4" t="s">
        <v>837</v>
      </c>
      <c r="I9" s="5">
        <v>1</v>
      </c>
      <c r="K9" s="4"/>
      <c r="L9" s="4" t="s">
        <v>840</v>
      </c>
      <c r="M9" s="5">
        <v>5</v>
      </c>
      <c r="P9" s="4"/>
      <c r="Q9" s="4" t="s">
        <v>933</v>
      </c>
      <c r="S9" s="4"/>
      <c r="T9" s="38" t="s">
        <v>934</v>
      </c>
      <c r="X9" s="4" t="s">
        <v>853</v>
      </c>
      <c r="Z9" s="4" t="s">
        <v>935</v>
      </c>
    </row>
    <row r="10" spans="3:26" x14ac:dyDescent="0.25">
      <c r="C10" s="4"/>
      <c r="D10" s="32" t="s">
        <v>751</v>
      </c>
      <c r="E10" s="5">
        <v>1</v>
      </c>
      <c r="H10" s="4" t="s">
        <v>297</v>
      </c>
      <c r="I10" s="5">
        <v>1</v>
      </c>
      <c r="K10" s="4"/>
      <c r="L10" s="4" t="s">
        <v>289</v>
      </c>
      <c r="M10" s="5">
        <v>3</v>
      </c>
      <c r="P10" s="4"/>
      <c r="Q10" s="4" t="s">
        <v>936</v>
      </c>
      <c r="S10" s="4"/>
      <c r="T10" s="4" t="s">
        <v>937</v>
      </c>
      <c r="X10" s="4" t="s">
        <v>938</v>
      </c>
      <c r="Z10" s="4" t="s">
        <v>939</v>
      </c>
    </row>
    <row r="11" spans="3:26" x14ac:dyDescent="0.25">
      <c r="C11" s="4"/>
      <c r="D11" s="4" t="s">
        <v>774</v>
      </c>
      <c r="E11" s="5">
        <v>3</v>
      </c>
      <c r="H11" s="4" t="s">
        <v>775</v>
      </c>
      <c r="I11" s="5">
        <v>1</v>
      </c>
      <c r="K11" s="4"/>
      <c r="L11" s="4" t="s">
        <v>291</v>
      </c>
      <c r="M11" s="5">
        <v>5</v>
      </c>
      <c r="P11" s="4"/>
      <c r="Q11" s="4"/>
      <c r="S11" s="4"/>
      <c r="X11" s="4" t="s">
        <v>285</v>
      </c>
      <c r="Z11" s="4" t="s">
        <v>940</v>
      </c>
    </row>
    <row r="12" spans="3:26" x14ac:dyDescent="0.25">
      <c r="C12" s="4"/>
      <c r="D12" s="4" t="s">
        <v>757</v>
      </c>
      <c r="E12" s="5">
        <v>3</v>
      </c>
      <c r="H12" s="4" t="s">
        <v>787</v>
      </c>
      <c r="I12" s="5">
        <v>1</v>
      </c>
      <c r="K12" s="4"/>
      <c r="L12" s="4" t="s">
        <v>287</v>
      </c>
      <c r="M12" s="5">
        <v>3</v>
      </c>
      <c r="P12" s="4"/>
      <c r="Q12" s="4"/>
      <c r="S12" s="4"/>
      <c r="T12" s="4"/>
      <c r="X12" s="4" t="s">
        <v>886</v>
      </c>
      <c r="Z12" s="4" t="s">
        <v>941</v>
      </c>
    </row>
    <row r="13" spans="3:26" x14ac:dyDescent="0.25">
      <c r="C13" s="4"/>
      <c r="D13" s="4" t="s">
        <v>808</v>
      </c>
      <c r="E13" s="5" t="s">
        <v>64</v>
      </c>
      <c r="H13" s="4" t="s">
        <v>797</v>
      </c>
      <c r="I13" s="5" t="s">
        <v>65</v>
      </c>
      <c r="K13" s="4"/>
      <c r="L13" s="4" t="s">
        <v>850</v>
      </c>
      <c r="M13" s="5" t="s">
        <v>66</v>
      </c>
      <c r="P13" s="40" t="s">
        <v>942</v>
      </c>
      <c r="Q13" s="4" t="s">
        <v>943</v>
      </c>
      <c r="S13" s="41" t="s">
        <v>944</v>
      </c>
      <c r="T13" s="38" t="s">
        <v>945</v>
      </c>
    </row>
    <row r="14" spans="3:26" x14ac:dyDescent="0.25">
      <c r="C14" s="4"/>
      <c r="H14" s="4" t="s">
        <v>815</v>
      </c>
      <c r="I14" s="5" t="s">
        <v>65</v>
      </c>
      <c r="K14" s="4"/>
      <c r="L14" s="4" t="s">
        <v>796</v>
      </c>
      <c r="M14" s="5">
        <v>5</v>
      </c>
      <c r="P14" s="4"/>
      <c r="Q14" s="4" t="s">
        <v>946</v>
      </c>
      <c r="S14" s="4"/>
      <c r="T14" s="38" t="s">
        <v>947</v>
      </c>
    </row>
    <row r="15" spans="3:26" x14ac:dyDescent="0.25">
      <c r="C15" s="4"/>
      <c r="H15" s="4" t="s">
        <v>785</v>
      </c>
      <c r="I15" s="5">
        <v>3</v>
      </c>
      <c r="K15" s="4"/>
      <c r="L15" s="4" t="s">
        <v>828</v>
      </c>
      <c r="M15" s="5">
        <v>3</v>
      </c>
      <c r="P15" s="4"/>
      <c r="Q15" s="4" t="s">
        <v>948</v>
      </c>
      <c r="S15" s="4"/>
      <c r="T15" s="4" t="s">
        <v>949</v>
      </c>
      <c r="X15" s="4" t="s">
        <v>748</v>
      </c>
      <c r="Z15" s="4" t="s">
        <v>950</v>
      </c>
    </row>
    <row r="16" spans="3:26" x14ac:dyDescent="0.25">
      <c r="C16" s="4"/>
      <c r="H16" s="4" t="s">
        <v>788</v>
      </c>
      <c r="I16" s="5">
        <v>3</v>
      </c>
      <c r="K16" s="4"/>
      <c r="L16" s="4" t="s">
        <v>795</v>
      </c>
      <c r="M16" s="5">
        <v>5</v>
      </c>
      <c r="P16" s="4"/>
      <c r="Q16" s="4"/>
      <c r="S16" s="4"/>
      <c r="T16" s="4"/>
      <c r="X16" s="32" t="s">
        <v>741</v>
      </c>
      <c r="Z16" s="4" t="s">
        <v>951</v>
      </c>
    </row>
    <row r="17" spans="2:27" x14ac:dyDescent="0.25">
      <c r="C17" s="4"/>
      <c r="H17" s="4" t="s">
        <v>938</v>
      </c>
      <c r="I17" s="5">
        <v>5</v>
      </c>
      <c r="K17" s="4"/>
      <c r="L17" s="42" t="s">
        <v>829</v>
      </c>
      <c r="M17" s="5" t="s">
        <v>66</v>
      </c>
      <c r="P17" s="4"/>
      <c r="Q17" s="4"/>
      <c r="S17" s="4"/>
      <c r="T17" s="4"/>
      <c r="X17" s="4" t="s">
        <v>762</v>
      </c>
      <c r="Z17" s="4" t="s">
        <v>952</v>
      </c>
    </row>
    <row r="18" spans="2:27" x14ac:dyDescent="0.25">
      <c r="C18" s="4"/>
      <c r="H18" s="4" t="s">
        <v>277</v>
      </c>
      <c r="I18" s="5">
        <v>5</v>
      </c>
      <c r="K18" s="4"/>
      <c r="L18" s="42" t="s">
        <v>857</v>
      </c>
      <c r="M18" s="5" t="s">
        <v>65</v>
      </c>
      <c r="P18" s="4"/>
      <c r="Q18" s="4"/>
      <c r="S18" s="4"/>
      <c r="T18" s="4"/>
      <c r="X18" s="4" t="s">
        <v>953</v>
      </c>
      <c r="Z18" s="4" t="s">
        <v>954</v>
      </c>
    </row>
    <row r="19" spans="2:27" x14ac:dyDescent="0.25">
      <c r="C19" s="4"/>
      <c r="H19" s="4" t="s">
        <v>279</v>
      </c>
      <c r="I19" s="5">
        <v>3</v>
      </c>
      <c r="K19" s="4"/>
      <c r="L19" s="42" t="s">
        <v>847</v>
      </c>
      <c r="M19" s="5" t="s">
        <v>65</v>
      </c>
      <c r="N19" s="5"/>
      <c r="O19" s="5"/>
      <c r="P19" s="4"/>
      <c r="Q19" s="4"/>
      <c r="S19" s="4"/>
      <c r="T19" s="4"/>
      <c r="X19" s="4" t="s">
        <v>823</v>
      </c>
      <c r="Z19" s="4" t="s">
        <v>955</v>
      </c>
    </row>
    <row r="20" spans="2:27" x14ac:dyDescent="0.25">
      <c r="C20" s="4"/>
      <c r="H20" s="4" t="s">
        <v>285</v>
      </c>
      <c r="I20" s="5">
        <v>3</v>
      </c>
      <c r="K20" s="4"/>
      <c r="L20" s="42" t="s">
        <v>824</v>
      </c>
      <c r="M20" s="5" t="s">
        <v>65</v>
      </c>
      <c r="P20" s="4"/>
      <c r="Q20" s="4"/>
      <c r="S20" s="4"/>
      <c r="T20" s="4"/>
      <c r="X20" s="4" t="s">
        <v>277</v>
      </c>
      <c r="Z20" s="4" t="s">
        <v>956</v>
      </c>
    </row>
    <row r="21" spans="2:27" x14ac:dyDescent="0.25">
      <c r="C21" s="4"/>
      <c r="H21" s="4" t="s">
        <v>886</v>
      </c>
      <c r="I21" s="5">
        <v>2</v>
      </c>
      <c r="K21" s="4"/>
      <c r="L21" s="42" t="s">
        <v>309</v>
      </c>
      <c r="M21" s="5" t="s">
        <v>66</v>
      </c>
      <c r="P21" s="4"/>
      <c r="Q21" s="4"/>
      <c r="S21" s="4"/>
      <c r="T21" s="4"/>
      <c r="X21" s="4" t="s">
        <v>299</v>
      </c>
      <c r="Z21" s="4" t="s">
        <v>957</v>
      </c>
      <c r="AA21" s="5"/>
    </row>
    <row r="22" spans="2:27" x14ac:dyDescent="0.25">
      <c r="C22" s="4"/>
      <c r="H22" s="4" t="s">
        <v>744</v>
      </c>
      <c r="I22" s="5">
        <v>5</v>
      </c>
      <c r="K22" s="4"/>
      <c r="L22" s="42" t="s">
        <v>841</v>
      </c>
      <c r="M22" s="5" t="s">
        <v>66</v>
      </c>
      <c r="P22" s="4"/>
      <c r="Q22" s="4"/>
      <c r="S22" s="4"/>
      <c r="T22" s="4"/>
      <c r="X22" s="4" t="s">
        <v>295</v>
      </c>
      <c r="Z22" s="4" t="s">
        <v>958</v>
      </c>
    </row>
    <row r="23" spans="2:27" x14ac:dyDescent="0.25">
      <c r="C23" s="4"/>
      <c r="H23" s="4" t="s">
        <v>299</v>
      </c>
      <c r="I23" s="5">
        <v>3</v>
      </c>
      <c r="K23" s="4"/>
      <c r="L23" s="4" t="s">
        <v>833</v>
      </c>
      <c r="M23" s="5" t="s">
        <v>68</v>
      </c>
      <c r="P23" s="4"/>
      <c r="Q23" s="4"/>
      <c r="S23" s="4"/>
      <c r="T23" s="4"/>
      <c r="X23" s="4" t="s">
        <v>305</v>
      </c>
      <c r="Z23" s="4" t="s">
        <v>959</v>
      </c>
    </row>
    <row r="24" spans="2:27" x14ac:dyDescent="0.25">
      <c r="C24" s="4"/>
      <c r="H24" s="4" t="s">
        <v>295</v>
      </c>
      <c r="I24" s="5">
        <v>3</v>
      </c>
      <c r="K24" s="4"/>
      <c r="L24" s="4" t="s">
        <v>816</v>
      </c>
      <c r="M24" s="5" t="s">
        <v>68</v>
      </c>
      <c r="P24" s="4"/>
      <c r="Q24" s="4"/>
      <c r="S24" s="4"/>
      <c r="T24" s="4"/>
      <c r="X24" s="4" t="s">
        <v>749</v>
      </c>
      <c r="Z24" s="4" t="s">
        <v>960</v>
      </c>
    </row>
    <row r="25" spans="2:27" x14ac:dyDescent="0.25">
      <c r="C25" s="4"/>
      <c r="H25" s="4" t="s">
        <v>746</v>
      </c>
      <c r="I25" s="5" t="s">
        <v>68</v>
      </c>
      <c r="K25" s="4"/>
      <c r="L25" s="38" t="s">
        <v>832</v>
      </c>
      <c r="M25" s="5" t="s">
        <v>64</v>
      </c>
      <c r="P25" s="4"/>
      <c r="Q25" s="4"/>
      <c r="S25" s="4"/>
      <c r="T25" s="4"/>
      <c r="X25" s="4" t="s">
        <v>301</v>
      </c>
      <c r="Z25" s="4" t="s">
        <v>961</v>
      </c>
    </row>
    <row r="26" spans="2:27" x14ac:dyDescent="0.25">
      <c r="C26" s="4"/>
      <c r="K26" s="4"/>
      <c r="L26" s="4" t="s">
        <v>807</v>
      </c>
      <c r="M26" s="5" t="s">
        <v>66</v>
      </c>
      <c r="P26" s="4"/>
      <c r="Q26" s="4"/>
      <c r="S26" s="4"/>
      <c r="T26" s="4"/>
      <c r="X26" s="4" t="s">
        <v>303</v>
      </c>
      <c r="Z26" s="4" t="s">
        <v>962</v>
      </c>
    </row>
    <row r="27" spans="2:27" x14ac:dyDescent="0.25">
      <c r="L27" s="4" t="s">
        <v>773</v>
      </c>
      <c r="M27" s="2">
        <v>7</v>
      </c>
      <c r="X27" s="4" t="s">
        <v>807</v>
      </c>
      <c r="Z27" s="4" t="s">
        <v>963</v>
      </c>
    </row>
    <row r="28" spans="2:27" customFormat="1" x14ac:dyDescent="0.25">
      <c r="B28" s="32"/>
      <c r="C28" s="5"/>
      <c r="I28" s="5"/>
      <c r="K28" s="32"/>
      <c r="P28" s="32"/>
      <c r="Q28" s="5"/>
      <c r="S28" s="32"/>
      <c r="T28" s="5"/>
      <c r="X28" s="4" t="s">
        <v>833</v>
      </c>
      <c r="Y28" s="4"/>
      <c r="Z28" s="4" t="s">
        <v>964</v>
      </c>
      <c r="AA28" s="4"/>
    </row>
    <row r="29" spans="2:27" x14ac:dyDescent="0.25">
      <c r="X29" s="4" t="s">
        <v>319</v>
      </c>
      <c r="Z29" s="4" t="s">
        <v>965</v>
      </c>
    </row>
    <row r="30" spans="2:27" x14ac:dyDescent="0.25">
      <c r="C30" s="43" t="s">
        <v>966</v>
      </c>
      <c r="D30" s="4" t="s">
        <v>756</v>
      </c>
      <c r="E30" s="5">
        <v>4</v>
      </c>
      <c r="G30" s="44" t="s">
        <v>967</v>
      </c>
      <c r="H30" s="32" t="s">
        <v>766</v>
      </c>
      <c r="I30" s="5">
        <v>1</v>
      </c>
      <c r="K30" s="45" t="s">
        <v>968</v>
      </c>
      <c r="L30" s="4" t="s">
        <v>806</v>
      </c>
      <c r="M30" s="5">
        <v>1</v>
      </c>
      <c r="P30" s="4"/>
      <c r="Q30" s="4"/>
      <c r="S30" s="4"/>
      <c r="T30" s="4"/>
    </row>
    <row r="31" spans="2:27" x14ac:dyDescent="0.25">
      <c r="C31" s="4"/>
      <c r="D31" s="4" t="s">
        <v>760</v>
      </c>
      <c r="E31" s="5">
        <v>3</v>
      </c>
      <c r="H31" s="4" t="s">
        <v>836</v>
      </c>
      <c r="I31" s="5">
        <v>1</v>
      </c>
      <c r="K31" s="4"/>
      <c r="L31" s="4" t="s">
        <v>761</v>
      </c>
      <c r="M31" s="5">
        <v>3</v>
      </c>
      <c r="P31" s="4"/>
      <c r="Q31" s="4"/>
      <c r="S31" s="4"/>
      <c r="T31" s="4"/>
    </row>
    <row r="32" spans="2:27" x14ac:dyDescent="0.25">
      <c r="C32" s="4"/>
      <c r="D32" s="4" t="s">
        <v>812</v>
      </c>
      <c r="E32" s="5">
        <v>3</v>
      </c>
      <c r="H32" s="4" t="s">
        <v>786</v>
      </c>
      <c r="I32" s="5">
        <v>1</v>
      </c>
      <c r="K32" s="4"/>
      <c r="L32" s="4" t="s">
        <v>819</v>
      </c>
      <c r="M32" s="5">
        <v>1</v>
      </c>
      <c r="P32" s="4"/>
      <c r="Q32" s="4"/>
      <c r="S32" s="4"/>
      <c r="T32" s="4"/>
    </row>
    <row r="33" spans="3:26" x14ac:dyDescent="0.25">
      <c r="C33" s="4"/>
      <c r="D33" s="4" t="s">
        <v>781</v>
      </c>
      <c r="E33" s="5">
        <v>3</v>
      </c>
      <c r="H33" s="4" t="s">
        <v>778</v>
      </c>
      <c r="I33" s="5">
        <v>5</v>
      </c>
      <c r="K33" s="4"/>
      <c r="L33" s="4" t="s">
        <v>870</v>
      </c>
      <c r="M33" s="5">
        <v>5</v>
      </c>
      <c r="P33" s="4"/>
      <c r="Q33" s="4"/>
      <c r="S33" s="4"/>
      <c r="T33" s="4"/>
    </row>
    <row r="34" spans="3:26" x14ac:dyDescent="0.25">
      <c r="C34" s="4"/>
      <c r="D34" s="4" t="s">
        <v>782</v>
      </c>
      <c r="E34" s="5">
        <v>3</v>
      </c>
      <c r="H34" s="4" t="s">
        <v>305</v>
      </c>
      <c r="I34" s="5">
        <v>5</v>
      </c>
      <c r="K34" s="4"/>
      <c r="L34" s="4" t="s">
        <v>281</v>
      </c>
      <c r="M34" s="5">
        <v>5</v>
      </c>
      <c r="P34" s="4"/>
      <c r="Q34" s="4"/>
      <c r="S34" s="4"/>
      <c r="T34" s="4"/>
    </row>
    <row r="35" spans="3:26" x14ac:dyDescent="0.25">
      <c r="C35" s="4"/>
      <c r="D35" s="4" t="s">
        <v>792</v>
      </c>
      <c r="E35" s="5" t="s">
        <v>64</v>
      </c>
      <c r="H35" s="4" t="s">
        <v>853</v>
      </c>
      <c r="I35" s="5">
        <v>3</v>
      </c>
      <c r="K35" s="4"/>
      <c r="L35" s="4" t="s">
        <v>874</v>
      </c>
      <c r="M35" s="5">
        <v>5</v>
      </c>
      <c r="P35" s="4"/>
      <c r="Q35" s="4"/>
      <c r="S35" s="4"/>
      <c r="T35" s="4"/>
    </row>
    <row r="36" spans="3:26" x14ac:dyDescent="0.25">
      <c r="C36" s="4"/>
      <c r="D36" s="38" t="s">
        <v>762</v>
      </c>
      <c r="E36" s="5" t="s">
        <v>65</v>
      </c>
      <c r="H36" s="4" t="s">
        <v>823</v>
      </c>
      <c r="I36" s="5">
        <v>3</v>
      </c>
      <c r="K36" s="4"/>
      <c r="L36" s="4" t="s">
        <v>780</v>
      </c>
      <c r="M36" s="5">
        <v>3</v>
      </c>
      <c r="P36" s="4"/>
      <c r="Q36" s="4"/>
      <c r="S36" s="4"/>
      <c r="T36" s="4"/>
    </row>
    <row r="37" spans="3:26" x14ac:dyDescent="0.25">
      <c r="C37" s="4"/>
      <c r="D37" s="4" t="s">
        <v>969</v>
      </c>
      <c r="E37" s="5" t="s">
        <v>68</v>
      </c>
      <c r="H37" s="4" t="s">
        <v>809</v>
      </c>
      <c r="I37" s="5">
        <v>3</v>
      </c>
      <c r="K37" s="4"/>
      <c r="L37" s="4" t="s">
        <v>883</v>
      </c>
      <c r="M37" s="5" t="s">
        <v>66</v>
      </c>
      <c r="P37" s="4"/>
      <c r="Q37" s="4"/>
      <c r="S37" s="4"/>
      <c r="T37" s="4"/>
      <c r="U37" s="32"/>
    </row>
    <row r="38" spans="3:26" x14ac:dyDescent="0.25">
      <c r="C38" s="4"/>
      <c r="H38" s="4" t="s">
        <v>805</v>
      </c>
      <c r="I38" s="5">
        <v>5</v>
      </c>
      <c r="K38" s="4"/>
      <c r="L38" s="4" t="s">
        <v>862</v>
      </c>
      <c r="M38" s="5">
        <v>5</v>
      </c>
      <c r="P38" s="4"/>
      <c r="Q38" s="4"/>
      <c r="S38" s="4"/>
      <c r="T38" s="4"/>
      <c r="W38" s="198" t="s">
        <v>970</v>
      </c>
      <c r="X38" s="198"/>
      <c r="Y38" s="198"/>
      <c r="Z38" s="198"/>
    </row>
    <row r="39" spans="3:26" x14ac:dyDescent="0.25">
      <c r="C39" s="4"/>
      <c r="H39" s="4" t="s">
        <v>767</v>
      </c>
      <c r="I39" s="5">
        <v>3</v>
      </c>
      <c r="K39" s="4"/>
      <c r="L39" s="4" t="s">
        <v>765</v>
      </c>
      <c r="M39" s="5">
        <v>3</v>
      </c>
      <c r="P39" s="4"/>
      <c r="Q39" s="4"/>
      <c r="S39" s="4"/>
      <c r="T39" s="4"/>
      <c r="W39" s="198"/>
      <c r="X39" s="198"/>
      <c r="Y39" s="198"/>
      <c r="Z39" s="198"/>
    </row>
    <row r="40" spans="3:26" x14ac:dyDescent="0.25">
      <c r="C40" s="4"/>
      <c r="H40" s="4" t="s">
        <v>770</v>
      </c>
      <c r="I40" s="5">
        <v>3</v>
      </c>
      <c r="K40" s="4"/>
      <c r="L40" s="4" t="s">
        <v>877</v>
      </c>
      <c r="M40" s="5">
        <v>5</v>
      </c>
      <c r="P40" s="4"/>
      <c r="Q40" s="4"/>
      <c r="S40" s="4"/>
      <c r="T40" s="4"/>
      <c r="W40" s="199" t="s">
        <v>971</v>
      </c>
      <c r="X40" s="199"/>
      <c r="Y40" s="199"/>
      <c r="Z40" s="199"/>
    </row>
    <row r="41" spans="3:26" x14ac:dyDescent="0.25">
      <c r="C41" s="4"/>
      <c r="H41" s="4" t="s">
        <v>752</v>
      </c>
      <c r="I41" s="5">
        <v>3</v>
      </c>
      <c r="K41" s="4"/>
      <c r="L41" s="4" t="s">
        <v>825</v>
      </c>
      <c r="M41" s="5" t="s">
        <v>66</v>
      </c>
      <c r="P41" s="4"/>
      <c r="Q41" s="4"/>
      <c r="S41" s="4"/>
      <c r="T41" s="4"/>
      <c r="W41" s="199"/>
      <c r="X41" s="199"/>
      <c r="Y41" s="199"/>
      <c r="Z41" s="199"/>
    </row>
    <row r="42" spans="3:26" x14ac:dyDescent="0.25">
      <c r="C42" s="4"/>
      <c r="H42" s="4" t="s">
        <v>753</v>
      </c>
      <c r="I42" s="5">
        <v>3</v>
      </c>
      <c r="K42" s="4"/>
      <c r="L42" s="4" t="s">
        <v>293</v>
      </c>
      <c r="M42" s="5" t="s">
        <v>67</v>
      </c>
      <c r="P42" s="4"/>
      <c r="Q42" s="4"/>
      <c r="S42" s="4"/>
      <c r="T42" s="4"/>
    </row>
    <row r="43" spans="3:26" x14ac:dyDescent="0.25">
      <c r="C43" s="4"/>
      <c r="H43" s="4" t="s">
        <v>749</v>
      </c>
      <c r="I43" s="5">
        <v>3</v>
      </c>
      <c r="K43" s="4"/>
      <c r="L43" s="4" t="s">
        <v>866</v>
      </c>
      <c r="M43" s="5" t="s">
        <v>66</v>
      </c>
      <c r="P43" s="4"/>
      <c r="Q43" s="4"/>
      <c r="S43" s="4"/>
      <c r="T43" s="4"/>
    </row>
    <row r="44" spans="3:26" x14ac:dyDescent="0.25">
      <c r="C44" s="4"/>
      <c r="H44" s="4" t="s">
        <v>745</v>
      </c>
      <c r="I44" s="5" t="s">
        <v>64</v>
      </c>
      <c r="K44" s="4"/>
      <c r="L44" s="4" t="s">
        <v>854</v>
      </c>
      <c r="M44" s="5" t="s">
        <v>66</v>
      </c>
      <c r="P44" s="4"/>
      <c r="Q44" s="4"/>
      <c r="S44" s="4"/>
      <c r="T44" s="4"/>
    </row>
    <row r="45" spans="3:26" x14ac:dyDescent="0.25">
      <c r="C45" s="4"/>
      <c r="H45" s="4" t="s">
        <v>321</v>
      </c>
      <c r="I45" s="5" t="s">
        <v>66</v>
      </c>
      <c r="K45" s="4"/>
      <c r="L45" s="4" t="s">
        <v>307</v>
      </c>
      <c r="M45" s="5" t="s">
        <v>66</v>
      </c>
      <c r="P45" s="4"/>
      <c r="Q45" s="4"/>
      <c r="S45" s="4"/>
      <c r="T45" s="4"/>
    </row>
    <row r="46" spans="3:26" x14ac:dyDescent="0.25">
      <c r="C46" s="4"/>
      <c r="H46" s="4" t="s">
        <v>317</v>
      </c>
      <c r="I46" s="5" t="s">
        <v>66</v>
      </c>
      <c r="K46" s="4"/>
      <c r="L46" s="38" t="s">
        <v>867</v>
      </c>
      <c r="M46" s="5" t="s">
        <v>65</v>
      </c>
      <c r="P46" s="4"/>
      <c r="Q46" s="4"/>
      <c r="S46" s="4"/>
      <c r="T46" s="4"/>
    </row>
    <row r="47" spans="3:26" x14ac:dyDescent="0.25">
      <c r="C47" s="4"/>
      <c r="H47" s="4" t="s">
        <v>880</v>
      </c>
      <c r="I47" s="5" t="s">
        <v>66</v>
      </c>
      <c r="K47" s="4"/>
      <c r="L47" s="4" t="s">
        <v>313</v>
      </c>
      <c r="M47" s="5" t="s">
        <v>66</v>
      </c>
      <c r="P47" s="4"/>
      <c r="Q47" s="4"/>
      <c r="S47" s="4"/>
      <c r="T47" s="4"/>
    </row>
    <row r="48" spans="3:26" x14ac:dyDescent="0.25">
      <c r="G48" s="46"/>
      <c r="H48" s="4" t="s">
        <v>800</v>
      </c>
      <c r="I48" s="5" t="s">
        <v>66</v>
      </c>
      <c r="L48" s="4" t="s">
        <v>315</v>
      </c>
      <c r="M48" s="5" t="s">
        <v>64</v>
      </c>
      <c r="S48" s="4"/>
      <c r="T48" s="4"/>
    </row>
    <row r="49" spans="4:21" x14ac:dyDescent="0.25">
      <c r="D49" s="32"/>
      <c r="G49" s="46"/>
      <c r="H49" s="4" t="s">
        <v>789</v>
      </c>
      <c r="I49" s="5" t="s">
        <v>68</v>
      </c>
      <c r="L49" s="4" t="s">
        <v>842</v>
      </c>
      <c r="M49" s="5" t="s">
        <v>66</v>
      </c>
      <c r="S49" s="4"/>
      <c r="T49" s="4"/>
    </row>
    <row r="50" spans="4:21" x14ac:dyDescent="0.25">
      <c r="G50" s="46"/>
      <c r="H50" s="4" t="s">
        <v>301</v>
      </c>
      <c r="I50" s="5" t="s">
        <v>68</v>
      </c>
      <c r="L50" s="4" t="s">
        <v>311</v>
      </c>
      <c r="M50" s="5" t="s">
        <v>66</v>
      </c>
      <c r="T50" s="4"/>
      <c r="U50" s="32"/>
    </row>
    <row r="51" spans="4:21" x14ac:dyDescent="0.25">
      <c r="G51" s="46"/>
      <c r="H51" s="4" t="s">
        <v>303</v>
      </c>
      <c r="I51" s="5" t="s">
        <v>68</v>
      </c>
      <c r="L51" s="4" t="s">
        <v>779</v>
      </c>
      <c r="M51" s="5" t="s">
        <v>66</v>
      </c>
      <c r="T51" s="4"/>
      <c r="U51" s="32"/>
    </row>
    <row r="52" spans="4:21" x14ac:dyDescent="0.25">
      <c r="G52" s="46"/>
      <c r="I52" s="4"/>
      <c r="L52" s="38" t="s">
        <v>863</v>
      </c>
      <c r="M52" s="5" t="s">
        <v>66</v>
      </c>
      <c r="T52" s="4"/>
      <c r="U52" s="32"/>
    </row>
    <row r="53" spans="4:21" x14ac:dyDescent="0.25">
      <c r="G53" s="46"/>
      <c r="L53" s="38" t="s">
        <v>871</v>
      </c>
      <c r="M53" s="5" t="s">
        <v>65</v>
      </c>
    </row>
    <row r="54" spans="4:21" x14ac:dyDescent="0.25">
      <c r="G54" s="46"/>
    </row>
    <row r="55" spans="4:21" x14ac:dyDescent="0.25">
      <c r="G55" s="46"/>
    </row>
  </sheetData>
  <mergeCells count="5">
    <mergeCell ref="C3:M4"/>
    <mergeCell ref="P3:T4"/>
    <mergeCell ref="W3:Z4"/>
    <mergeCell ref="W38:Z39"/>
    <mergeCell ref="W40:Z41"/>
  </mergeCells>
  <phoneticPr fontId="11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C2:S45"/>
  <sheetViews>
    <sheetView workbookViewId="0">
      <selection activeCell="C10" sqref="C10:J12"/>
    </sheetView>
  </sheetViews>
  <sheetFormatPr defaultColWidth="8.7265625" defaultRowHeight="14" x14ac:dyDescent="0.25"/>
  <cols>
    <col min="1" max="2" width="12.81640625" customWidth="1"/>
    <col min="3" max="3" width="11.81640625" customWidth="1"/>
    <col min="4" max="4" width="20.81640625" customWidth="1"/>
    <col min="5" max="10" width="12.81640625" customWidth="1"/>
    <col min="14" max="14" width="11.81640625" customWidth="1"/>
    <col min="15" max="15" width="20.81640625" customWidth="1"/>
    <col min="16" max="19" width="12.81640625" customWidth="1"/>
    <col min="22" max="25" width="12.81640625"/>
  </cols>
  <sheetData>
    <row r="2" spans="3:19" x14ac:dyDescent="0.25">
      <c r="C2" s="9" t="s">
        <v>972</v>
      </c>
      <c r="E2" s="10" t="s">
        <v>973</v>
      </c>
      <c r="F2" s="11"/>
    </row>
    <row r="3" spans="3:19" x14ac:dyDescent="0.25">
      <c r="C3" s="12" t="s">
        <v>974</v>
      </c>
      <c r="E3" s="10" t="s">
        <v>975</v>
      </c>
      <c r="F3" s="13"/>
    </row>
    <row r="4" spans="3:19" x14ac:dyDescent="0.25">
      <c r="C4" s="12" t="s">
        <v>976</v>
      </c>
      <c r="E4" s="10" t="s">
        <v>977</v>
      </c>
      <c r="F4" s="14"/>
      <c r="N4" s="10" t="s">
        <v>978</v>
      </c>
      <c r="P4" s="10" t="s">
        <v>979</v>
      </c>
      <c r="Q4" s="15"/>
      <c r="R4" s="10">
        <v>20</v>
      </c>
    </row>
    <row r="5" spans="3:19" x14ac:dyDescent="0.25">
      <c r="C5" s="16" t="s">
        <v>980</v>
      </c>
      <c r="E5" s="10" t="s">
        <v>981</v>
      </c>
      <c r="F5" s="17"/>
      <c r="N5" s="10" t="s">
        <v>982</v>
      </c>
      <c r="P5" s="10" t="s">
        <v>983</v>
      </c>
      <c r="Q5" s="18"/>
      <c r="R5" s="10">
        <v>300</v>
      </c>
    </row>
    <row r="6" spans="3:19" x14ac:dyDescent="0.25">
      <c r="C6" s="12" t="s">
        <v>984</v>
      </c>
      <c r="E6" s="10" t="s">
        <v>985</v>
      </c>
      <c r="F6" s="19"/>
      <c r="N6" s="10" t="s">
        <v>986</v>
      </c>
      <c r="P6" s="10" t="s">
        <v>987</v>
      </c>
      <c r="Q6" s="20"/>
      <c r="R6" s="10">
        <v>600</v>
      </c>
    </row>
    <row r="10" spans="3:19" x14ac:dyDescent="0.25">
      <c r="C10" s="198" t="s">
        <v>988</v>
      </c>
      <c r="D10" s="198"/>
      <c r="E10" s="198"/>
      <c r="F10" s="198"/>
      <c r="G10" s="198"/>
      <c r="H10" s="198"/>
      <c r="I10" s="198"/>
      <c r="J10" s="198"/>
      <c r="N10" s="198" t="s">
        <v>989</v>
      </c>
      <c r="O10" s="198"/>
      <c r="P10" s="198"/>
      <c r="Q10" s="198"/>
      <c r="R10" s="198"/>
      <c r="S10" s="198"/>
    </row>
    <row r="11" spans="3:19" x14ac:dyDescent="0.25">
      <c r="C11" s="198"/>
      <c r="D11" s="198"/>
      <c r="E11" s="198"/>
      <c r="F11" s="198"/>
      <c r="G11" s="198"/>
      <c r="H11" s="198"/>
      <c r="I11" s="198"/>
      <c r="J11" s="198"/>
      <c r="N11" s="198"/>
      <c r="O11" s="198"/>
      <c r="P11" s="198"/>
      <c r="Q11" s="198"/>
      <c r="R11" s="198"/>
      <c r="S11" s="198"/>
    </row>
    <row r="12" spans="3:19" x14ac:dyDescent="0.25">
      <c r="C12" s="198"/>
      <c r="D12" s="198"/>
      <c r="E12" s="198"/>
      <c r="F12" s="198"/>
      <c r="G12" s="198"/>
      <c r="H12" s="198"/>
      <c r="I12" s="198"/>
      <c r="J12" s="198"/>
      <c r="N12" s="198"/>
      <c r="O12" s="198"/>
      <c r="P12" s="198"/>
      <c r="Q12" s="198"/>
      <c r="R12" s="198"/>
      <c r="S12" s="198"/>
    </row>
    <row r="13" spans="3:19" x14ac:dyDescent="0.25">
      <c r="C13" s="200" t="s">
        <v>972</v>
      </c>
      <c r="D13" s="21" t="s">
        <v>990</v>
      </c>
      <c r="E13" s="22">
        <f>E14/SUM(E14:H14)</f>
        <v>0.69230769230769196</v>
      </c>
      <c r="F13" s="22">
        <f>F14/SUM(E14:F14)</f>
        <v>0.30769230769230799</v>
      </c>
      <c r="N13" s="200" t="s">
        <v>978</v>
      </c>
      <c r="O13" s="21" t="s">
        <v>990</v>
      </c>
      <c r="P13" s="22">
        <f>P14/SUM(P14:S14)</f>
        <v>0.57915057915057899</v>
      </c>
      <c r="Q13" s="22">
        <f>Q14/SUM(P14:S14)</f>
        <v>0.30888030888030898</v>
      </c>
      <c r="R13" s="22">
        <f>R14/SUM(P14:S14)</f>
        <v>6.9498069498069498E-2</v>
      </c>
      <c r="S13" s="22">
        <f>S14/SUM(P14:S14)</f>
        <v>4.2471042471042497E-2</v>
      </c>
    </row>
    <row r="14" spans="3:19" x14ac:dyDescent="0.25">
      <c r="C14" s="201"/>
      <c r="D14" s="21" t="s">
        <v>991</v>
      </c>
      <c r="E14" s="23">
        <f>E16*E15</f>
        <v>18</v>
      </c>
      <c r="F14" s="23">
        <f>F16*F15</f>
        <v>8</v>
      </c>
      <c r="N14" s="201"/>
      <c r="O14" s="21" t="s">
        <v>991</v>
      </c>
      <c r="P14" s="23">
        <f t="shared" ref="P14:S14" si="0">P16*P15</f>
        <v>300</v>
      </c>
      <c r="Q14" s="23">
        <f t="shared" si="0"/>
        <v>160</v>
      </c>
      <c r="R14" s="23">
        <f t="shared" si="0"/>
        <v>36</v>
      </c>
      <c r="S14" s="23">
        <f t="shared" si="0"/>
        <v>22</v>
      </c>
    </row>
    <row r="15" spans="3:19" x14ac:dyDescent="0.25">
      <c r="C15" s="201"/>
      <c r="D15" s="24" t="s">
        <v>992</v>
      </c>
      <c r="E15" s="25">
        <v>3</v>
      </c>
      <c r="F15" s="25">
        <v>1</v>
      </c>
      <c r="N15" s="201"/>
      <c r="O15" s="26" t="s">
        <v>992</v>
      </c>
      <c r="P15" s="25">
        <v>50</v>
      </c>
      <c r="Q15" s="25">
        <v>20</v>
      </c>
      <c r="R15" s="25">
        <v>2</v>
      </c>
      <c r="S15" s="25">
        <v>1</v>
      </c>
    </row>
    <row r="16" spans="3:19" x14ac:dyDescent="0.25">
      <c r="C16" s="201"/>
      <c r="D16" s="24" t="s">
        <v>993</v>
      </c>
      <c r="E16" s="25">
        <v>6</v>
      </c>
      <c r="F16" s="25">
        <v>8</v>
      </c>
      <c r="N16" s="201"/>
      <c r="O16" s="24" t="s">
        <v>993</v>
      </c>
      <c r="P16" s="25">
        <v>6</v>
      </c>
      <c r="Q16" s="25">
        <v>8</v>
      </c>
      <c r="R16" s="25">
        <v>18</v>
      </c>
      <c r="S16" s="25">
        <v>22</v>
      </c>
    </row>
    <row r="17" spans="3:19" x14ac:dyDescent="0.25">
      <c r="C17" s="202"/>
      <c r="D17" s="27" t="s">
        <v>994</v>
      </c>
      <c r="E17" s="28" t="s">
        <v>995</v>
      </c>
      <c r="F17" s="28" t="s">
        <v>326</v>
      </c>
      <c r="N17" s="202"/>
      <c r="O17" s="28" t="s">
        <v>994</v>
      </c>
      <c r="P17" s="28" t="s">
        <v>995</v>
      </c>
      <c r="Q17" s="28" t="s">
        <v>326</v>
      </c>
      <c r="R17" s="28" t="s">
        <v>996</v>
      </c>
      <c r="S17" s="28" t="s">
        <v>331</v>
      </c>
    </row>
    <row r="18" spans="3:19" x14ac:dyDescent="0.25">
      <c r="C18" s="9"/>
      <c r="D18" s="9"/>
      <c r="E18" s="9"/>
      <c r="F18" s="9"/>
      <c r="G18" s="9"/>
      <c r="H18" s="9"/>
      <c r="N18" s="9"/>
      <c r="O18" s="9"/>
      <c r="P18" s="9"/>
      <c r="Q18" s="9"/>
      <c r="R18" s="9"/>
      <c r="S18" s="9"/>
    </row>
    <row r="19" spans="3:19" x14ac:dyDescent="0.25">
      <c r="C19" s="200" t="s">
        <v>974</v>
      </c>
      <c r="D19" s="21" t="s">
        <v>990</v>
      </c>
      <c r="E19" s="22">
        <f>E20/SUM(E20:H20)</f>
        <v>0.64171122994652396</v>
      </c>
      <c r="F19" s="22">
        <f>F20/SUM(E20:H20)</f>
        <v>0.24064171122994699</v>
      </c>
      <c r="G19" s="22">
        <f>G20/SUM(E20:H20)</f>
        <v>0.11764705882352899</v>
      </c>
      <c r="N19" s="200" t="s">
        <v>982</v>
      </c>
      <c r="O19" s="21" t="s">
        <v>990</v>
      </c>
      <c r="P19" s="22">
        <f>P20/SUM(P20:S20)</f>
        <v>0.579399141630901</v>
      </c>
      <c r="Q19" s="22">
        <f>Q20/SUM(P20:S20)</f>
        <v>0.28326180257510702</v>
      </c>
      <c r="R19" s="22">
        <f>R20/SUM(P20:S20)</f>
        <v>8.5836909871244593E-2</v>
      </c>
      <c r="S19" s="22">
        <f>S20/SUM(P20:S20)</f>
        <v>5.1502145922746802E-2</v>
      </c>
    </row>
    <row r="20" spans="3:19" x14ac:dyDescent="0.25">
      <c r="C20" s="201"/>
      <c r="D20" s="21" t="s">
        <v>991</v>
      </c>
      <c r="E20" s="23">
        <f t="shared" ref="E20:G20" si="1">E22*E21</f>
        <v>240</v>
      </c>
      <c r="F20" s="23">
        <f t="shared" si="1"/>
        <v>90</v>
      </c>
      <c r="G20" s="23">
        <f t="shared" si="1"/>
        <v>44</v>
      </c>
      <c r="N20" s="201"/>
      <c r="O20" s="21" t="s">
        <v>991</v>
      </c>
      <c r="P20" s="23">
        <f t="shared" ref="P20:S20" si="2">P22*P21</f>
        <v>270</v>
      </c>
      <c r="Q20" s="23">
        <f t="shared" si="2"/>
        <v>132</v>
      </c>
      <c r="R20" s="23">
        <f t="shared" si="2"/>
        <v>40</v>
      </c>
      <c r="S20" s="23">
        <f t="shared" si="2"/>
        <v>24</v>
      </c>
    </row>
    <row r="21" spans="3:19" x14ac:dyDescent="0.25">
      <c r="C21" s="201"/>
      <c r="D21" s="24" t="s">
        <v>992</v>
      </c>
      <c r="E21" s="25">
        <v>30</v>
      </c>
      <c r="F21" s="25">
        <v>5</v>
      </c>
      <c r="G21" s="25">
        <v>2</v>
      </c>
      <c r="N21" s="201"/>
      <c r="O21" s="26" t="s">
        <v>992</v>
      </c>
      <c r="P21" s="25">
        <v>15</v>
      </c>
      <c r="Q21" s="25">
        <v>6</v>
      </c>
      <c r="R21" s="25">
        <v>2</v>
      </c>
      <c r="S21" s="25">
        <v>1</v>
      </c>
    </row>
    <row r="22" spans="3:19" x14ac:dyDescent="0.25">
      <c r="C22" s="201"/>
      <c r="D22" s="24" t="s">
        <v>993</v>
      </c>
      <c r="E22" s="25">
        <v>8</v>
      </c>
      <c r="F22" s="25">
        <v>18</v>
      </c>
      <c r="G22" s="25">
        <v>22</v>
      </c>
      <c r="N22" s="201"/>
      <c r="O22" s="24" t="s">
        <v>993</v>
      </c>
      <c r="P22" s="25">
        <v>18</v>
      </c>
      <c r="Q22" s="25">
        <v>22</v>
      </c>
      <c r="R22" s="25">
        <v>20</v>
      </c>
      <c r="S22" s="25">
        <v>24</v>
      </c>
    </row>
    <row r="23" spans="3:19" x14ac:dyDescent="0.25">
      <c r="C23" s="202"/>
      <c r="D23" s="27" t="s">
        <v>994</v>
      </c>
      <c r="E23" s="28" t="s">
        <v>326</v>
      </c>
      <c r="F23" s="28" t="s">
        <v>996</v>
      </c>
      <c r="G23" s="28" t="s">
        <v>331</v>
      </c>
      <c r="N23" s="202"/>
      <c r="O23" s="28" t="s">
        <v>994</v>
      </c>
      <c r="P23" s="28" t="s">
        <v>996</v>
      </c>
      <c r="Q23" s="28" t="s">
        <v>331</v>
      </c>
      <c r="R23" s="28" t="s">
        <v>997</v>
      </c>
      <c r="S23" s="28" t="s">
        <v>998</v>
      </c>
    </row>
    <row r="24" spans="3:19" x14ac:dyDescent="0.25">
      <c r="C24" s="9"/>
      <c r="D24" s="9"/>
      <c r="E24" s="9"/>
      <c r="F24" s="9"/>
      <c r="G24" s="9"/>
      <c r="H24" s="9"/>
      <c r="N24" s="9"/>
      <c r="O24" s="9"/>
      <c r="P24" s="9"/>
      <c r="Q24" s="9"/>
      <c r="R24" s="9"/>
      <c r="S24" s="9"/>
    </row>
    <row r="25" spans="3:19" x14ac:dyDescent="0.25">
      <c r="C25" s="200" t="s">
        <v>976</v>
      </c>
      <c r="D25" s="21" t="s">
        <v>990</v>
      </c>
      <c r="E25" s="22">
        <f>E26/SUM(E26:H26)</f>
        <v>0.55900621118012395</v>
      </c>
      <c r="F25" s="22">
        <f>F26/SUM(E26:H26)</f>
        <v>0.341614906832298</v>
      </c>
      <c r="G25" s="22">
        <f>G26/SUM(E26:H26)</f>
        <v>6.2111801242236003E-2</v>
      </c>
      <c r="H25" s="22">
        <f>H26/SUM(E26:H26)</f>
        <v>3.7267080745341602E-2</v>
      </c>
      <c r="N25" s="203" t="s">
        <v>986</v>
      </c>
      <c r="O25" s="21" t="s">
        <v>990</v>
      </c>
      <c r="P25" s="22">
        <f>P26/SUM(P26:S26)</f>
        <v>0.51896416426889902</v>
      </c>
      <c r="Q25" s="22">
        <f>Q26/SUM(P26:S26)</f>
        <v>0.38399162961025401</v>
      </c>
      <c r="R25" s="22">
        <f>R26/SUM(P26:S26)</f>
        <v>6.4870520533612294E-2</v>
      </c>
      <c r="S25" s="22">
        <f>S26/SUM(P26:S26)</f>
        <v>3.2173685587235198E-2</v>
      </c>
    </row>
    <row r="26" spans="3:19" x14ac:dyDescent="0.25">
      <c r="C26" s="201"/>
      <c r="D26" s="21" t="s">
        <v>991</v>
      </c>
      <c r="E26" s="23">
        <f t="shared" ref="E26:H26" si="3">E28*E27</f>
        <v>360</v>
      </c>
      <c r="F26" s="23">
        <f t="shared" si="3"/>
        <v>220</v>
      </c>
      <c r="G26" s="23">
        <f t="shared" si="3"/>
        <v>40</v>
      </c>
      <c r="H26" s="23">
        <f t="shared" si="3"/>
        <v>24</v>
      </c>
      <c r="N26" s="203"/>
      <c r="O26" s="21" t="s">
        <v>991</v>
      </c>
      <c r="P26" s="23">
        <f t="shared" ref="P26:S26" si="4">(P28*P27)+(P30*P29)</f>
        <v>1984</v>
      </c>
      <c r="Q26" s="23">
        <f t="shared" si="4"/>
        <v>1468</v>
      </c>
      <c r="R26" s="23">
        <f t="shared" si="4"/>
        <v>248</v>
      </c>
      <c r="S26" s="23">
        <f t="shared" si="4"/>
        <v>123</v>
      </c>
    </row>
    <row r="27" spans="3:19" x14ac:dyDescent="0.25">
      <c r="C27" s="201"/>
      <c r="D27" s="24" t="s">
        <v>992</v>
      </c>
      <c r="E27" s="25">
        <v>20</v>
      </c>
      <c r="F27" s="25">
        <v>10</v>
      </c>
      <c r="G27" s="25">
        <v>2</v>
      </c>
      <c r="H27" s="25">
        <v>1</v>
      </c>
      <c r="N27" s="203"/>
      <c r="O27" s="26" t="s">
        <v>992</v>
      </c>
      <c r="P27" s="25">
        <v>2</v>
      </c>
      <c r="Q27" s="25">
        <v>1</v>
      </c>
      <c r="R27" s="25">
        <v>0</v>
      </c>
      <c r="S27" s="25">
        <v>0</v>
      </c>
    </row>
    <row r="28" spans="3:19" x14ac:dyDescent="0.25">
      <c r="C28" s="201"/>
      <c r="D28" s="24" t="s">
        <v>993</v>
      </c>
      <c r="E28" s="25">
        <v>18</v>
      </c>
      <c r="F28" s="25">
        <v>22</v>
      </c>
      <c r="G28" s="25">
        <v>20</v>
      </c>
      <c r="H28" s="25">
        <v>24</v>
      </c>
      <c r="N28" s="203"/>
      <c r="O28" s="24" t="s">
        <v>993</v>
      </c>
      <c r="P28" s="25">
        <v>792</v>
      </c>
      <c r="Q28" s="25">
        <v>968</v>
      </c>
      <c r="R28" s="25">
        <v>0</v>
      </c>
      <c r="S28" s="25">
        <v>0</v>
      </c>
    </row>
    <row r="29" spans="3:19" x14ac:dyDescent="0.25">
      <c r="C29" s="202"/>
      <c r="D29" s="27" t="s">
        <v>994</v>
      </c>
      <c r="E29" s="28" t="s">
        <v>996</v>
      </c>
      <c r="F29" s="28" t="s">
        <v>331</v>
      </c>
      <c r="G29" s="28" t="s">
        <v>997</v>
      </c>
      <c r="H29" s="28" t="s">
        <v>998</v>
      </c>
      <c r="N29" s="203"/>
      <c r="O29" s="29" t="s">
        <v>999</v>
      </c>
      <c r="P29" s="30">
        <v>50</v>
      </c>
      <c r="Q29" s="30">
        <v>25</v>
      </c>
      <c r="R29" s="30">
        <v>8</v>
      </c>
      <c r="S29" s="30">
        <v>3</v>
      </c>
    </row>
    <row r="30" spans="3:19" x14ac:dyDescent="0.25">
      <c r="C30" s="9"/>
      <c r="D30" s="9"/>
      <c r="E30" s="9"/>
      <c r="F30" s="9"/>
      <c r="G30" s="9"/>
      <c r="H30" s="9"/>
      <c r="N30" s="203"/>
      <c r="O30" s="31" t="s">
        <v>1000</v>
      </c>
      <c r="P30" s="31" t="s">
        <v>71</v>
      </c>
      <c r="Q30" s="31" t="s">
        <v>214</v>
      </c>
      <c r="R30" s="31" t="s">
        <v>1001</v>
      </c>
      <c r="S30" s="31" t="s">
        <v>568</v>
      </c>
    </row>
    <row r="31" spans="3:19" x14ac:dyDescent="0.25">
      <c r="C31" s="203" t="s">
        <v>980</v>
      </c>
      <c r="D31" s="21" t="s">
        <v>990</v>
      </c>
      <c r="E31" s="22">
        <f>E32/SUM(E32:H32)</f>
        <v>0.47372954349698498</v>
      </c>
      <c r="F31" s="22">
        <f>F32/SUM(E32:H32)</f>
        <v>0.10766580534022401</v>
      </c>
      <c r="G31" s="22">
        <f>G32/SUM(E32:H32)</f>
        <v>5.1679586563307497E-2</v>
      </c>
      <c r="H31" s="22">
        <f>H32/SUM(E32:H32)</f>
        <v>0.36692506459948299</v>
      </c>
      <c r="I31" s="22">
        <f>I32/SUM(F32:I32)</f>
        <v>0.20597790773229399</v>
      </c>
      <c r="N31" s="203"/>
      <c r="O31" s="28" t="s">
        <v>994</v>
      </c>
      <c r="P31" s="28" t="s">
        <v>1002</v>
      </c>
      <c r="Q31" s="28" t="s">
        <v>335</v>
      </c>
      <c r="R31" s="28" t="s">
        <v>1003</v>
      </c>
      <c r="S31" s="28" t="s">
        <v>1004</v>
      </c>
    </row>
    <row r="32" spans="3:19" x14ac:dyDescent="0.25">
      <c r="C32" s="203"/>
      <c r="D32" s="21" t="s">
        <v>991</v>
      </c>
      <c r="E32" s="23">
        <f t="shared" ref="E32:I32" si="5">(E34*E33)+(E36*E35)</f>
        <v>4400</v>
      </c>
      <c r="F32" s="23">
        <f t="shared" si="5"/>
        <v>1000</v>
      </c>
      <c r="G32" s="23">
        <f t="shared" si="5"/>
        <v>480</v>
      </c>
      <c r="H32" s="23">
        <f t="shared" si="5"/>
        <v>3408</v>
      </c>
      <c r="I32" s="23">
        <f t="shared" si="5"/>
        <v>1268</v>
      </c>
    </row>
    <row r="33" spans="3:10" x14ac:dyDescent="0.25">
      <c r="C33" s="203"/>
      <c r="D33" s="26" t="s">
        <v>992</v>
      </c>
      <c r="E33" s="25">
        <v>200</v>
      </c>
      <c r="F33" s="25">
        <v>50</v>
      </c>
      <c r="G33" s="25">
        <v>20</v>
      </c>
      <c r="H33" s="25">
        <v>4</v>
      </c>
      <c r="I33" s="25">
        <v>1</v>
      </c>
    </row>
    <row r="34" spans="3:10" x14ac:dyDescent="0.25">
      <c r="C34" s="203"/>
      <c r="D34" s="24" t="s">
        <v>993</v>
      </c>
      <c r="E34" s="25">
        <v>22</v>
      </c>
      <c r="F34" s="25">
        <v>20</v>
      </c>
      <c r="G34" s="25">
        <v>24</v>
      </c>
      <c r="H34" s="25">
        <v>792</v>
      </c>
      <c r="I34" s="25">
        <v>968</v>
      </c>
    </row>
    <row r="35" spans="3:10" x14ac:dyDescent="0.25">
      <c r="C35" s="203"/>
      <c r="D35" s="29" t="s">
        <v>999</v>
      </c>
      <c r="E35" s="30">
        <v>0</v>
      </c>
      <c r="F35" s="30">
        <v>0</v>
      </c>
      <c r="G35" s="30">
        <v>0</v>
      </c>
      <c r="H35" s="30">
        <v>30</v>
      </c>
      <c r="I35" s="30">
        <v>15</v>
      </c>
    </row>
    <row r="36" spans="3:10" x14ac:dyDescent="0.25">
      <c r="C36" s="203"/>
      <c r="D36" s="31" t="s">
        <v>1000</v>
      </c>
      <c r="E36" s="31" t="s">
        <v>575</v>
      </c>
      <c r="F36" s="31" t="s">
        <v>575</v>
      </c>
      <c r="G36" s="31" t="s">
        <v>575</v>
      </c>
      <c r="H36" s="31" t="s">
        <v>71</v>
      </c>
      <c r="I36" s="31" t="s">
        <v>214</v>
      </c>
    </row>
    <row r="37" spans="3:10" x14ac:dyDescent="0.25">
      <c r="C37" s="203"/>
      <c r="D37" s="28" t="s">
        <v>994</v>
      </c>
      <c r="E37" s="28" t="s">
        <v>331</v>
      </c>
      <c r="F37" s="28" t="s">
        <v>997</v>
      </c>
      <c r="G37" s="28" t="s">
        <v>998</v>
      </c>
      <c r="H37" s="28" t="s">
        <v>1002</v>
      </c>
      <c r="I37" s="28" t="s">
        <v>335</v>
      </c>
    </row>
    <row r="39" spans="3:10" x14ac:dyDescent="0.25">
      <c r="C39" s="203" t="s">
        <v>984</v>
      </c>
      <c r="D39" s="21" t="s">
        <v>990</v>
      </c>
      <c r="E39" s="22">
        <f>E40/SUM(E40:H40)</f>
        <v>0.26867275658248302</v>
      </c>
      <c r="F39" s="22">
        <f>F40/SUM(E40:H40)</f>
        <v>0.16120365394948999</v>
      </c>
      <c r="G39" s="22">
        <f>G40/SUM(E40:H40)</f>
        <v>0.37291778613648602</v>
      </c>
      <c r="H39" s="22">
        <f t="shared" ref="H39:J39" si="6">H40/SUM(E40:H40)</f>
        <v>0.197205803331542</v>
      </c>
      <c r="I39" s="22">
        <f t="shared" si="6"/>
        <v>3.3037300177619897E-2</v>
      </c>
      <c r="J39" s="22">
        <f t="shared" si="6"/>
        <v>1.8173758865248201E-2</v>
      </c>
    </row>
    <row r="40" spans="3:10" x14ac:dyDescent="0.25">
      <c r="C40" s="203"/>
      <c r="D40" s="21" t="s">
        <v>991</v>
      </c>
      <c r="E40" s="23">
        <f t="shared" ref="E40:J40" si="7">(E42*E41)+(E44*E43)</f>
        <v>2000</v>
      </c>
      <c r="F40" s="23">
        <f t="shared" si="7"/>
        <v>1200</v>
      </c>
      <c r="G40" s="23">
        <f t="shared" si="7"/>
        <v>2776</v>
      </c>
      <c r="H40" s="23">
        <f t="shared" si="7"/>
        <v>1468</v>
      </c>
      <c r="I40" s="23">
        <f t="shared" si="7"/>
        <v>186</v>
      </c>
      <c r="J40" s="23">
        <f t="shared" si="7"/>
        <v>82</v>
      </c>
    </row>
    <row r="41" spans="3:10" x14ac:dyDescent="0.25">
      <c r="C41" s="203"/>
      <c r="D41" s="26" t="s">
        <v>992</v>
      </c>
      <c r="E41" s="25">
        <v>100</v>
      </c>
      <c r="F41" s="25">
        <v>50</v>
      </c>
      <c r="G41" s="25">
        <v>3</v>
      </c>
      <c r="H41" s="25">
        <v>1</v>
      </c>
      <c r="I41" s="25">
        <v>0</v>
      </c>
      <c r="J41" s="25">
        <v>0</v>
      </c>
    </row>
    <row r="42" spans="3:10" x14ac:dyDescent="0.25">
      <c r="C42" s="203"/>
      <c r="D42" s="24" t="s">
        <v>993</v>
      </c>
      <c r="E42" s="25">
        <v>20</v>
      </c>
      <c r="F42" s="25">
        <v>24</v>
      </c>
      <c r="G42" s="25">
        <v>792</v>
      </c>
      <c r="H42" s="25">
        <v>968</v>
      </c>
      <c r="I42" s="25">
        <v>0</v>
      </c>
      <c r="J42" s="25">
        <v>0</v>
      </c>
    </row>
    <row r="43" spans="3:10" x14ac:dyDescent="0.25">
      <c r="C43" s="203"/>
      <c r="D43" s="29" t="s">
        <v>999</v>
      </c>
      <c r="E43" s="30">
        <v>0</v>
      </c>
      <c r="F43" s="30">
        <v>0</v>
      </c>
      <c r="G43" s="30">
        <v>50</v>
      </c>
      <c r="H43" s="30">
        <v>25</v>
      </c>
      <c r="I43" s="30">
        <v>6</v>
      </c>
      <c r="J43" s="30">
        <v>2</v>
      </c>
    </row>
    <row r="44" spans="3:10" x14ac:dyDescent="0.25">
      <c r="C44" s="203"/>
      <c r="D44" s="31" t="s">
        <v>1000</v>
      </c>
      <c r="E44" s="31" t="s">
        <v>575</v>
      </c>
      <c r="F44" s="31" t="s">
        <v>575</v>
      </c>
      <c r="G44" s="31" t="s">
        <v>71</v>
      </c>
      <c r="H44" s="31" t="s">
        <v>214</v>
      </c>
      <c r="I44" s="31" t="s">
        <v>1001</v>
      </c>
      <c r="J44" s="31" t="s">
        <v>568</v>
      </c>
    </row>
    <row r="45" spans="3:10" x14ac:dyDescent="0.25">
      <c r="C45" s="203"/>
      <c r="D45" s="28" t="s">
        <v>994</v>
      </c>
      <c r="E45" s="28" t="s">
        <v>997</v>
      </c>
      <c r="F45" s="28" t="s">
        <v>998</v>
      </c>
      <c r="G45" s="28" t="s">
        <v>1002</v>
      </c>
      <c r="H45" s="28" t="s">
        <v>335</v>
      </c>
      <c r="I45" s="28" t="s">
        <v>1003</v>
      </c>
      <c r="J45" s="28" t="s">
        <v>1004</v>
      </c>
    </row>
  </sheetData>
  <mergeCells count="10">
    <mergeCell ref="N13:N17"/>
    <mergeCell ref="N19:N23"/>
    <mergeCell ref="N25:N31"/>
    <mergeCell ref="C10:J12"/>
    <mergeCell ref="N10:S12"/>
    <mergeCell ref="C13:C17"/>
    <mergeCell ref="C19:C23"/>
    <mergeCell ref="C25:C29"/>
    <mergeCell ref="C31:C37"/>
    <mergeCell ref="C39:C45"/>
  </mergeCells>
  <phoneticPr fontId="11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2:P38"/>
  <sheetViews>
    <sheetView workbookViewId="0"/>
  </sheetViews>
  <sheetFormatPr defaultColWidth="8.7265625" defaultRowHeight="14" x14ac:dyDescent="0.25"/>
  <cols>
    <col min="1" max="2" width="8.7265625" style="4"/>
    <col min="3" max="4" width="5.54296875" style="4" customWidth="1"/>
    <col min="5" max="5" width="18.54296875" style="4" customWidth="1"/>
    <col min="6" max="6" width="5.54296875" style="4" customWidth="1"/>
    <col min="7" max="7" width="14" style="4" customWidth="1"/>
    <col min="8" max="8" width="5.54296875" style="4" customWidth="1"/>
    <col min="9" max="9" width="18.54296875" style="4" customWidth="1"/>
    <col min="10" max="10" width="5.54296875" style="4" customWidth="1"/>
    <col min="11" max="11" width="18.54296875" style="4" customWidth="1"/>
    <col min="12" max="12" width="5.54296875" style="4" customWidth="1"/>
    <col min="13" max="13" width="15.1796875" style="4" customWidth="1"/>
    <col min="14" max="14" width="5.54296875" style="5" customWidth="1"/>
    <col min="15" max="15" width="14" style="4" customWidth="1"/>
    <col min="16" max="16" width="8.7265625" style="5"/>
    <col min="17" max="16384" width="8.7265625" style="4"/>
  </cols>
  <sheetData>
    <row r="2" spans="3:16" x14ac:dyDescent="0.25">
      <c r="C2" s="210" t="s">
        <v>1005</v>
      </c>
      <c r="D2" s="211"/>
      <c r="E2" s="211"/>
      <c r="F2" s="211"/>
      <c r="G2" s="211"/>
      <c r="H2" s="211"/>
      <c r="I2" s="211"/>
      <c r="J2" s="211"/>
      <c r="K2" s="211"/>
      <c r="L2" s="211"/>
      <c r="M2" s="212"/>
      <c r="N2" s="4"/>
      <c r="P2" s="4"/>
    </row>
    <row r="3" spans="3:16" x14ac:dyDescent="0.25">
      <c r="C3" s="213"/>
      <c r="D3" s="214"/>
      <c r="E3" s="214"/>
      <c r="F3" s="214"/>
      <c r="G3" s="214"/>
      <c r="H3" s="214"/>
      <c r="I3" s="214"/>
      <c r="J3" s="214"/>
      <c r="K3" s="214"/>
      <c r="L3" s="214"/>
      <c r="M3" s="215"/>
      <c r="N3" s="4"/>
      <c r="P3" s="4"/>
    </row>
    <row r="4" spans="3:16" x14ac:dyDescent="0.25">
      <c r="C4" s="216"/>
      <c r="D4" s="217"/>
      <c r="E4" s="217"/>
      <c r="F4" s="217"/>
      <c r="G4" s="217"/>
      <c r="H4" s="217"/>
      <c r="I4" s="217"/>
      <c r="J4" s="217"/>
      <c r="K4" s="217"/>
      <c r="L4" s="217"/>
      <c r="M4" s="218"/>
    </row>
    <row r="6" spans="3:16" x14ac:dyDescent="0.25">
      <c r="C6" s="204" t="s">
        <v>730</v>
      </c>
      <c r="D6" s="207" t="s">
        <v>1006</v>
      </c>
      <c r="E6" s="6" t="s">
        <v>1007</v>
      </c>
      <c r="F6" s="207" t="s">
        <v>1008</v>
      </c>
      <c r="G6" s="6" t="s">
        <v>1009</v>
      </c>
      <c r="H6" s="207" t="s">
        <v>1010</v>
      </c>
      <c r="I6" s="6" t="s">
        <v>1011</v>
      </c>
      <c r="J6" s="207" t="s">
        <v>105</v>
      </c>
      <c r="K6" s="6" t="s">
        <v>1012</v>
      </c>
      <c r="L6" s="207" t="s">
        <v>1013</v>
      </c>
      <c r="M6" s="6" t="s">
        <v>1014</v>
      </c>
    </row>
    <row r="7" spans="3:16" x14ac:dyDescent="0.25">
      <c r="C7" s="205"/>
      <c r="D7" s="208"/>
      <c r="E7" s="7"/>
      <c r="F7" s="208"/>
      <c r="G7" s="7"/>
      <c r="H7" s="208"/>
      <c r="I7" s="7"/>
      <c r="J7" s="208"/>
      <c r="K7" s="7"/>
      <c r="L7" s="208"/>
      <c r="M7" s="7"/>
    </row>
    <row r="8" spans="3:16" x14ac:dyDescent="0.25">
      <c r="C8" s="205"/>
      <c r="D8" s="209"/>
      <c r="E8" s="8"/>
      <c r="F8" s="209"/>
      <c r="G8" s="8"/>
      <c r="H8" s="209"/>
      <c r="I8" s="8"/>
      <c r="J8" s="209"/>
      <c r="K8" s="8"/>
      <c r="L8" s="209"/>
      <c r="M8" s="8"/>
    </row>
    <row r="9" spans="3:16" x14ac:dyDescent="0.25">
      <c r="C9" s="205"/>
      <c r="D9" s="207" t="s">
        <v>1015</v>
      </c>
      <c r="E9" s="6" t="s">
        <v>1016</v>
      </c>
      <c r="F9" s="207" t="s">
        <v>1017</v>
      </c>
      <c r="G9" s="6" t="s">
        <v>1018</v>
      </c>
      <c r="H9" s="207" t="s">
        <v>1019</v>
      </c>
      <c r="I9" s="6" t="s">
        <v>1020</v>
      </c>
      <c r="J9" s="207" t="s">
        <v>1021</v>
      </c>
      <c r="K9" s="6" t="s">
        <v>1022</v>
      </c>
      <c r="L9" s="207" t="s">
        <v>1023</v>
      </c>
      <c r="M9" s="6" t="s">
        <v>1024</v>
      </c>
    </row>
    <row r="10" spans="3:16" x14ac:dyDescent="0.25">
      <c r="C10" s="205"/>
      <c r="D10" s="208"/>
      <c r="E10" s="7"/>
      <c r="F10" s="208"/>
      <c r="G10" s="7"/>
      <c r="H10" s="208"/>
      <c r="I10" s="7"/>
      <c r="J10" s="208"/>
      <c r="K10" s="7"/>
      <c r="L10" s="208"/>
      <c r="M10" s="7"/>
    </row>
    <row r="11" spans="3:16" x14ac:dyDescent="0.25">
      <c r="C11" s="205"/>
      <c r="D11" s="209"/>
      <c r="E11" s="8"/>
      <c r="F11" s="209"/>
      <c r="G11" s="8"/>
      <c r="H11" s="209"/>
      <c r="I11" s="8"/>
      <c r="J11" s="209"/>
      <c r="K11" s="8"/>
      <c r="L11" s="209"/>
      <c r="M11" s="8"/>
    </row>
    <row r="12" spans="3:16" x14ac:dyDescent="0.25">
      <c r="C12" s="205"/>
      <c r="D12" s="207" t="s">
        <v>1025</v>
      </c>
      <c r="E12" s="6" t="s">
        <v>1026</v>
      </c>
      <c r="F12" s="207" t="s">
        <v>1027</v>
      </c>
      <c r="G12" s="6" t="s">
        <v>1028</v>
      </c>
      <c r="H12" s="207" t="s">
        <v>1029</v>
      </c>
      <c r="I12" s="6" t="s">
        <v>1030</v>
      </c>
      <c r="J12" s="207" t="s">
        <v>1031</v>
      </c>
      <c r="K12" s="6" t="s">
        <v>1032</v>
      </c>
      <c r="L12" s="207" t="s">
        <v>1033</v>
      </c>
      <c r="M12" s="6" t="s">
        <v>1034</v>
      </c>
    </row>
    <row r="13" spans="3:16" x14ac:dyDescent="0.25">
      <c r="C13" s="205"/>
      <c r="D13" s="208"/>
      <c r="E13" s="7"/>
      <c r="F13" s="208"/>
      <c r="G13" s="7"/>
      <c r="H13" s="208"/>
      <c r="I13" s="7"/>
      <c r="J13" s="208"/>
      <c r="K13" s="7"/>
      <c r="L13" s="208"/>
      <c r="M13" s="7"/>
    </row>
    <row r="14" spans="3:16" x14ac:dyDescent="0.25">
      <c r="C14" s="206"/>
      <c r="D14" s="209"/>
      <c r="E14" s="8"/>
      <c r="F14" s="209"/>
      <c r="G14" s="8"/>
      <c r="H14" s="209"/>
      <c r="I14" s="8"/>
      <c r="J14" s="209"/>
      <c r="K14" s="8"/>
      <c r="L14" s="209"/>
      <c r="M14" s="8"/>
    </row>
    <row r="16" spans="3:16" x14ac:dyDescent="0.25">
      <c r="C16" s="204" t="s">
        <v>497</v>
      </c>
      <c r="D16" s="207" t="s">
        <v>1035</v>
      </c>
      <c r="E16" s="6" t="s">
        <v>1036</v>
      </c>
    </row>
    <row r="17" spans="3:11" x14ac:dyDescent="0.25">
      <c r="C17" s="205"/>
      <c r="D17" s="208"/>
      <c r="E17" s="7"/>
    </row>
    <row r="18" spans="3:11" x14ac:dyDescent="0.25">
      <c r="C18" s="205"/>
      <c r="D18" s="209"/>
      <c r="E18" s="8"/>
    </row>
    <row r="19" spans="3:11" x14ac:dyDescent="0.25">
      <c r="C19" s="205"/>
      <c r="D19" s="207" t="s">
        <v>1037</v>
      </c>
      <c r="E19" s="6" t="s">
        <v>1038</v>
      </c>
    </row>
    <row r="20" spans="3:11" x14ac:dyDescent="0.25">
      <c r="C20" s="205"/>
      <c r="D20" s="208"/>
      <c r="E20" s="7"/>
    </row>
    <row r="21" spans="3:11" x14ac:dyDescent="0.25">
      <c r="C21" s="205"/>
      <c r="D21" s="209"/>
      <c r="E21" s="8"/>
    </row>
    <row r="22" spans="3:11" x14ac:dyDescent="0.25">
      <c r="C22" s="205"/>
      <c r="D22" s="207" t="s">
        <v>1039</v>
      </c>
      <c r="E22" s="6" t="s">
        <v>1038</v>
      </c>
      <c r="F22" s="207" t="s">
        <v>1040</v>
      </c>
      <c r="G22" s="6" t="s">
        <v>1041</v>
      </c>
      <c r="H22" s="207" t="s">
        <v>1042</v>
      </c>
      <c r="I22" s="6" t="s">
        <v>1043</v>
      </c>
      <c r="J22" s="207" t="s">
        <v>1044</v>
      </c>
      <c r="K22" s="6" t="s">
        <v>1045</v>
      </c>
    </row>
    <row r="23" spans="3:11" x14ac:dyDescent="0.25">
      <c r="C23" s="205"/>
      <c r="D23" s="208"/>
      <c r="E23" s="7" t="s">
        <v>1046</v>
      </c>
      <c r="F23" s="208"/>
      <c r="G23" s="7"/>
      <c r="H23" s="208"/>
      <c r="I23" s="7"/>
      <c r="J23" s="208"/>
      <c r="K23" s="7" t="s">
        <v>1047</v>
      </c>
    </row>
    <row r="24" spans="3:11" x14ac:dyDescent="0.25">
      <c r="C24" s="206"/>
      <c r="D24" s="209"/>
      <c r="E24" s="8"/>
      <c r="F24" s="209"/>
      <c r="G24" s="8"/>
      <c r="H24" s="209"/>
      <c r="I24" s="8"/>
      <c r="J24" s="209"/>
      <c r="K24" s="8"/>
    </row>
    <row r="26" spans="3:11" x14ac:dyDescent="0.25">
      <c r="C26" s="204" t="s">
        <v>1048</v>
      </c>
      <c r="D26" s="207" t="s">
        <v>1049</v>
      </c>
      <c r="E26" s="6" t="s">
        <v>1050</v>
      </c>
    </row>
    <row r="27" spans="3:11" x14ac:dyDescent="0.25">
      <c r="C27" s="205"/>
      <c r="D27" s="208"/>
      <c r="E27" s="7"/>
    </row>
    <row r="28" spans="3:11" x14ac:dyDescent="0.25">
      <c r="C28" s="205"/>
      <c r="D28" s="209"/>
      <c r="E28" s="8"/>
    </row>
    <row r="29" spans="3:11" x14ac:dyDescent="0.25">
      <c r="C29" s="205"/>
      <c r="D29" s="207" t="s">
        <v>1051</v>
      </c>
      <c r="E29" s="6" t="s">
        <v>1050</v>
      </c>
    </row>
    <row r="30" spans="3:11" x14ac:dyDescent="0.25">
      <c r="C30" s="205"/>
      <c r="D30" s="208"/>
      <c r="E30" s="7" t="s">
        <v>1046</v>
      </c>
    </row>
    <row r="31" spans="3:11" x14ac:dyDescent="0.25">
      <c r="C31" s="205"/>
      <c r="D31" s="209"/>
      <c r="E31" s="8"/>
    </row>
    <row r="32" spans="3:11" x14ac:dyDescent="0.25">
      <c r="C32" s="205"/>
      <c r="D32" s="207" t="s">
        <v>53</v>
      </c>
      <c r="E32" s="6" t="s">
        <v>1052</v>
      </c>
    </row>
    <row r="33" spans="3:15" x14ac:dyDescent="0.25">
      <c r="C33" s="205"/>
      <c r="D33" s="208"/>
      <c r="E33" s="7" t="s">
        <v>1053</v>
      </c>
    </row>
    <row r="34" spans="3:15" x14ac:dyDescent="0.25">
      <c r="C34" s="206"/>
      <c r="D34" s="209"/>
      <c r="E34" s="8"/>
    </row>
    <row r="36" spans="3:15" x14ac:dyDescent="0.25">
      <c r="O36" s="5"/>
    </row>
    <row r="37" spans="3:15" x14ac:dyDescent="0.25">
      <c r="O37" s="5"/>
    </row>
    <row r="38" spans="3:15" x14ac:dyDescent="0.25">
      <c r="O38" s="5"/>
    </row>
  </sheetData>
  <mergeCells count="28">
    <mergeCell ref="C2:M4"/>
    <mergeCell ref="J6:J8"/>
    <mergeCell ref="J9:J11"/>
    <mergeCell ref="J12:J14"/>
    <mergeCell ref="J22:J24"/>
    <mergeCell ref="L6:L8"/>
    <mergeCell ref="L9:L11"/>
    <mergeCell ref="L12:L14"/>
    <mergeCell ref="F6:F8"/>
    <mergeCell ref="F9:F11"/>
    <mergeCell ref="F12:F14"/>
    <mergeCell ref="F22:F24"/>
    <mergeCell ref="H6:H8"/>
    <mergeCell ref="H9:H11"/>
    <mergeCell ref="H12:H14"/>
    <mergeCell ref="H22:H24"/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</mergeCells>
  <phoneticPr fontId="11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E15"/>
  <sheetViews>
    <sheetView workbookViewId="0">
      <selection activeCell="A2" sqref="A2:E3"/>
    </sheetView>
  </sheetViews>
  <sheetFormatPr defaultColWidth="8.7265625" defaultRowHeight="14" x14ac:dyDescent="0.25"/>
  <cols>
    <col min="2" max="2" width="18.54296875" customWidth="1"/>
    <col min="4" max="4" width="167" customWidth="1"/>
  </cols>
  <sheetData>
    <row r="2" spans="1:5" x14ac:dyDescent="0.25">
      <c r="A2" s="181" t="s">
        <v>1054</v>
      </c>
      <c r="B2" s="182"/>
      <c r="C2" s="182"/>
      <c r="D2" s="182"/>
      <c r="E2" s="183"/>
    </row>
    <row r="3" spans="1:5" x14ac:dyDescent="0.25">
      <c r="A3" s="184"/>
      <c r="B3" s="185"/>
      <c r="C3" s="185"/>
      <c r="D3" s="185"/>
      <c r="E3" s="186"/>
    </row>
    <row r="6" spans="1:5" x14ac:dyDescent="0.25">
      <c r="B6" t="s">
        <v>1055</v>
      </c>
      <c r="D6" t="s">
        <v>1056</v>
      </c>
    </row>
    <row r="7" spans="1:5" x14ac:dyDescent="0.25">
      <c r="B7" t="s">
        <v>1057</v>
      </c>
      <c r="D7" t="s">
        <v>1058</v>
      </c>
    </row>
    <row r="8" spans="1:5" x14ac:dyDescent="0.25">
      <c r="B8" t="s">
        <v>1059</v>
      </c>
      <c r="D8" t="s">
        <v>1060</v>
      </c>
    </row>
    <row r="9" spans="1:5" x14ac:dyDescent="0.25">
      <c r="B9" t="s">
        <v>1061</v>
      </c>
      <c r="D9" t="s">
        <v>1062</v>
      </c>
    </row>
    <row r="10" spans="1:5" x14ac:dyDescent="0.25">
      <c r="B10" t="s">
        <v>1063</v>
      </c>
      <c r="D10" t="s">
        <v>1064</v>
      </c>
    </row>
    <row r="11" spans="1:5" x14ac:dyDescent="0.25">
      <c r="B11" t="s">
        <v>1065</v>
      </c>
      <c r="D11" t="s">
        <v>1066</v>
      </c>
    </row>
    <row r="12" spans="1:5" x14ac:dyDescent="0.25">
      <c r="B12" t="s">
        <v>1067</v>
      </c>
      <c r="D12" t="s">
        <v>1068</v>
      </c>
    </row>
    <row r="13" spans="1:5" x14ac:dyDescent="0.25">
      <c r="B13" t="s">
        <v>1069</v>
      </c>
      <c r="D13" t="s">
        <v>1070</v>
      </c>
    </row>
    <row r="14" spans="1:5" x14ac:dyDescent="0.25">
      <c r="B14" t="s">
        <v>1071</v>
      </c>
      <c r="D14" t="s">
        <v>1072</v>
      </c>
    </row>
    <row r="15" spans="1:5" x14ac:dyDescent="0.25">
      <c r="B15" t="s">
        <v>1073</v>
      </c>
      <c r="D15" t="s">
        <v>1074</v>
      </c>
    </row>
  </sheetData>
  <mergeCells count="1">
    <mergeCell ref="A2:E3"/>
  </mergeCells>
  <phoneticPr fontId="11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D4:N31"/>
  <sheetViews>
    <sheetView workbookViewId="0">
      <selection activeCell="E31" sqref="E31:H31"/>
    </sheetView>
  </sheetViews>
  <sheetFormatPr defaultColWidth="8.7265625" defaultRowHeight="14" x14ac:dyDescent="0.25"/>
  <cols>
    <col min="4" max="4" width="9.54296875" customWidth="1"/>
    <col min="10" max="10" width="7.54296875" customWidth="1"/>
    <col min="11" max="11" width="14" customWidth="1"/>
    <col min="12" max="12" width="46.6328125" customWidth="1"/>
    <col min="13" max="13" width="53.36328125" customWidth="1"/>
    <col min="14" max="14" width="33.81640625" customWidth="1"/>
  </cols>
  <sheetData>
    <row r="4" spans="10:13" x14ac:dyDescent="0.25">
      <c r="J4" t="s">
        <v>1075</v>
      </c>
    </row>
    <row r="5" spans="10:13" x14ac:dyDescent="0.25">
      <c r="K5" t="s">
        <v>1076</v>
      </c>
    </row>
    <row r="9" spans="10:13" x14ac:dyDescent="0.25">
      <c r="J9" t="s">
        <v>1077</v>
      </c>
    </row>
    <row r="10" spans="10:13" x14ac:dyDescent="0.25">
      <c r="K10" t="s">
        <v>1078</v>
      </c>
      <c r="L10" t="s">
        <v>1079</v>
      </c>
    </row>
    <row r="11" spans="10:13" x14ac:dyDescent="0.25">
      <c r="K11" t="s">
        <v>1080</v>
      </c>
      <c r="L11" t="s">
        <v>1081</v>
      </c>
    </row>
    <row r="12" spans="10:13" x14ac:dyDescent="0.25">
      <c r="K12" t="s">
        <v>317</v>
      </c>
    </row>
    <row r="13" spans="10:13" x14ac:dyDescent="0.25">
      <c r="K13" t="s">
        <v>1082</v>
      </c>
      <c r="L13" t="s">
        <v>1083</v>
      </c>
      <c r="M13" t="s">
        <v>1084</v>
      </c>
    </row>
    <row r="14" spans="10:13" x14ac:dyDescent="0.25">
      <c r="K14" t="s">
        <v>741</v>
      </c>
    </row>
    <row r="15" spans="10:13" x14ac:dyDescent="0.25">
      <c r="K15" t="s">
        <v>748</v>
      </c>
    </row>
    <row r="16" spans="10:13" x14ac:dyDescent="0.25">
      <c r="K16" t="s">
        <v>1085</v>
      </c>
      <c r="L16" t="s">
        <v>1086</v>
      </c>
    </row>
    <row r="17" spans="4:14" x14ac:dyDescent="0.25">
      <c r="K17" t="s">
        <v>1087</v>
      </c>
    </row>
    <row r="18" spans="4:14" x14ac:dyDescent="0.25">
      <c r="K18" t="s">
        <v>1088</v>
      </c>
      <c r="M18" t="s">
        <v>1089</v>
      </c>
    </row>
    <row r="19" spans="4:14" x14ac:dyDescent="0.25">
      <c r="K19" t="s">
        <v>1090</v>
      </c>
      <c r="L19" t="s">
        <v>1091</v>
      </c>
    </row>
    <row r="20" spans="4:14" x14ac:dyDescent="0.25">
      <c r="K20" t="s">
        <v>1092</v>
      </c>
      <c r="L20" t="s">
        <v>1093</v>
      </c>
    </row>
    <row r="21" spans="4:14" ht="43" customHeight="1" x14ac:dyDescent="0.25">
      <c r="K21" t="s">
        <v>880</v>
      </c>
      <c r="L21" t="s">
        <v>1094</v>
      </c>
      <c r="M21" s="1" t="s">
        <v>1095</v>
      </c>
      <c r="N21" t="s">
        <v>1096</v>
      </c>
    </row>
    <row r="23" spans="4:14" x14ac:dyDescent="0.25">
      <c r="K23" t="s">
        <v>1097</v>
      </c>
      <c r="L23" t="s">
        <v>1098</v>
      </c>
    </row>
    <row r="29" spans="4:14" x14ac:dyDescent="0.25">
      <c r="D29" t="s">
        <v>1099</v>
      </c>
      <c r="E29" s="2" t="s">
        <v>1100</v>
      </c>
      <c r="F29" s="179" t="s">
        <v>1101</v>
      </c>
      <c r="G29" s="179"/>
      <c r="H29" s="179"/>
      <c r="I29" s="179"/>
      <c r="J29" s="179"/>
      <c r="K29" s="179"/>
      <c r="L29" s="179"/>
      <c r="M29" s="179"/>
      <c r="N29" s="179"/>
    </row>
    <row r="31" spans="4:14" x14ac:dyDescent="0.25">
      <c r="D31" t="s">
        <v>1102</v>
      </c>
      <c r="E31" s="219" t="s">
        <v>1103</v>
      </c>
      <c r="F31" s="219"/>
      <c r="G31" s="219"/>
      <c r="H31" s="219"/>
    </row>
  </sheetData>
  <mergeCells count="2">
    <mergeCell ref="F29:N29"/>
    <mergeCell ref="E31:H31"/>
  </mergeCells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职业</vt:lpstr>
      <vt:lpstr>武器</vt:lpstr>
      <vt:lpstr>护甲前缀</vt:lpstr>
      <vt:lpstr>护甲后缀</vt:lpstr>
      <vt:lpstr>虹彩技能</vt:lpstr>
      <vt:lpstr>晶石掉落</vt:lpstr>
      <vt:lpstr>装饰品</vt:lpstr>
      <vt:lpstr>源</vt:lpstr>
      <vt:lpstr>其他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杭彬 毛</cp:lastModifiedBy>
  <dcterms:created xsi:type="dcterms:W3CDTF">2023-05-12T11:15:00Z</dcterms:created>
  <dcterms:modified xsi:type="dcterms:W3CDTF">2026-05-30T08:46:04Z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